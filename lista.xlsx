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maria\TFM-Maria\"/>
    </mc:Choice>
  </mc:AlternateContent>
  <xr:revisionPtr revIDLastSave="0" documentId="13_ncr:1_{41F4FFF2-BB89-444C-BCB0-FD9D9E7F7DE4}" xr6:coauthVersionLast="47" xr6:coauthVersionMax="47" xr10:uidLastSave="{00000000-0000-0000-0000-000000000000}"/>
  <bookViews>
    <workbookView xWindow="11424" yWindow="0" windowWidth="11712" windowHeight="12336" activeTab="2" xr2:uid="{00000000-000D-0000-FFFF-FFFF00000000}"/>
  </bookViews>
  <sheets>
    <sheet name="Sheet1" sheetId="1" r:id="rId1"/>
    <sheet name="Hoja1" sheetId="2" r:id="rId2"/>
    <sheet name="Hoja3" sheetId="4"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 i="1" l="1"/>
</calcChain>
</file>

<file path=xl/sharedStrings.xml><?xml version="1.0" encoding="utf-8"?>
<sst xmlns="http://schemas.openxmlformats.org/spreadsheetml/2006/main" count="316" uniqueCount="164">
  <si>
    <t>Nº</t>
  </si>
  <si>
    <t>RA</t>
  </si>
  <si>
    <t>DEC</t>
  </si>
  <si>
    <t>IRAS 12</t>
  </si>
  <si>
    <t>IRAS 25</t>
  </si>
  <si>
    <t>IRAS 60</t>
  </si>
  <si>
    <t>IRAS 100</t>
  </si>
  <si>
    <t>Name</t>
  </si>
  <si>
    <t>TIC</t>
  </si>
  <si>
    <t>P_Simbad</t>
  </si>
  <si>
    <t>Comentarios</t>
  </si>
  <si>
    <t>objeto 1</t>
  </si>
  <si>
    <t>objeto 2</t>
  </si>
  <si>
    <t>objeto 3</t>
  </si>
  <si>
    <t>objeto 4</t>
  </si>
  <si>
    <t>objeto 5</t>
  </si>
  <si>
    <t>objeto 6</t>
  </si>
  <si>
    <t>objeto 7</t>
  </si>
  <si>
    <t>objeto 8</t>
  </si>
  <si>
    <t>objeto 9</t>
  </si>
  <si>
    <t>objeto 10</t>
  </si>
  <si>
    <t>#YSO?</t>
  </si>
  <si>
    <t>#Post-AGB ya estudiada</t>
  </si>
  <si>
    <t>#Be star?</t>
  </si>
  <si>
    <t>#Binaria ya estudiada</t>
  </si>
  <si>
    <t>Variability clas</t>
  </si>
  <si>
    <t>&lt;0,25</t>
  </si>
  <si>
    <t>&lt;9,716</t>
  </si>
  <si>
    <t>&lt;70,52</t>
  </si>
  <si>
    <t>&lt;7,858</t>
  </si>
  <si>
    <t>&lt;59,8</t>
  </si>
  <si>
    <t>&lt;148,6</t>
  </si>
  <si>
    <t>&lt;0,95</t>
  </si>
  <si>
    <t>&lt;38,19</t>
  </si>
  <si>
    <t>&lt;0,902</t>
  </si>
  <si>
    <t>&lt;0,4</t>
  </si>
  <si>
    <t>&lt;3,346</t>
  </si>
  <si>
    <t>&lt;2,908</t>
  </si>
  <si>
    <t>&lt;52,28</t>
  </si>
  <si>
    <t>&lt;0,401</t>
  </si>
  <si>
    <t>&lt;23,53</t>
  </si>
  <si>
    <t>&lt;16,53</t>
  </si>
  <si>
    <t>&lt;2,848</t>
  </si>
  <si>
    <t>objeto 11</t>
  </si>
  <si>
    <t>objeto 12</t>
  </si>
  <si>
    <t>objeto 13</t>
  </si>
  <si>
    <t>objeto 14</t>
  </si>
  <si>
    <t>objeto 15</t>
  </si>
  <si>
    <t>objeto 16</t>
  </si>
  <si>
    <t>objeto 17</t>
  </si>
  <si>
    <t>#Cepheid?</t>
  </si>
  <si>
    <t>&lt;103,9</t>
  </si>
  <si>
    <t>&lt;7,899</t>
  </si>
  <si>
    <t>&lt;1,199</t>
  </si>
  <si>
    <t>#Blue supergiant?</t>
  </si>
  <si>
    <t>&lt;54,23</t>
  </si>
  <si>
    <t>&lt;6,382</t>
  </si>
  <si>
    <t>&lt;0,819</t>
  </si>
  <si>
    <t>#Post-AGB?</t>
  </si>
  <si>
    <t>&lt;1,0</t>
  </si>
  <si>
    <t>&lt;17,71</t>
  </si>
  <si>
    <t>&lt;2,867</t>
  </si>
  <si>
    <t>#supergiant?</t>
  </si>
  <si>
    <t>&lt;54,69</t>
  </si>
  <si>
    <t>objeto 19</t>
  </si>
  <si>
    <t>objeto 20</t>
  </si>
  <si>
    <t>objeto 21</t>
  </si>
  <si>
    <t>objeto 22</t>
  </si>
  <si>
    <t>objeto 18</t>
  </si>
  <si>
    <t>#Planetary Nebulae candidate</t>
  </si>
  <si>
    <t>#Binaria eclipsante?</t>
  </si>
  <si>
    <t>&lt;34,47</t>
  </si>
  <si>
    <t>&lt;0,331</t>
  </si>
  <si>
    <t>#Be star</t>
  </si>
  <si>
    <t>#Binaria de rayos X con Be?</t>
  </si>
  <si>
    <t>&lt;0,406</t>
  </si>
  <si>
    <t>TYC 8170-690-1</t>
  </si>
  <si>
    <t>Type Simbad</t>
  </si>
  <si>
    <t>Star</t>
  </si>
  <si>
    <t>HD 15629</t>
  </si>
  <si>
    <t>Young Stellar Object</t>
  </si>
  <si>
    <t>N/A</t>
  </si>
  <si>
    <t>LS II +25 15</t>
  </si>
  <si>
    <t>Emission-line Star</t>
  </si>
  <si>
    <t>* 73 Ori</t>
  </si>
  <si>
    <t>HD 239626</t>
  </si>
  <si>
    <t>HD 161796</t>
  </si>
  <si>
    <t>Post-AGB Star</t>
  </si>
  <si>
    <t>HD 95862</t>
  </si>
  <si>
    <t>Be Star</t>
  </si>
  <si>
    <t>Blue Supergiant</t>
  </si>
  <si>
    <t>HD 36408A</t>
  </si>
  <si>
    <t>HD 3191</t>
  </si>
  <si>
    <t>Pulsating Variable</t>
  </si>
  <si>
    <t>V* V379 Cep</t>
  </si>
  <si>
    <t>Spectroscopic Binary</t>
  </si>
  <si>
    <t>V* T Cru</t>
  </si>
  <si>
    <t>Classical Cepheid Variable</t>
  </si>
  <si>
    <t>HD 75860</t>
  </si>
  <si>
    <t>CD-53 4543</t>
  </si>
  <si>
    <t>V* LN Hay</t>
  </si>
  <si>
    <t>HD 194279</t>
  </si>
  <si>
    <t>* l Pup</t>
  </si>
  <si>
    <t>Evolved Supergiant</t>
  </si>
  <si>
    <t>HD 190603</t>
  </si>
  <si>
    <t xml:space="preserve">0,135863	</t>
  </si>
  <si>
    <t>HD 237204</t>
  </si>
  <si>
    <t>Planetary Nebula candidate</t>
  </si>
  <si>
    <t xml:space="preserve">0,075546	</t>
  </si>
  <si>
    <t>HD 213405</t>
  </si>
  <si>
    <t>Eclipsing Binary</t>
  </si>
  <si>
    <t>* 6 Cep</t>
  </si>
  <si>
    <t>V* V454 Vel</t>
  </si>
  <si>
    <t>HD 34921</t>
  </si>
  <si>
    <t>High Mass X-ray Binary</t>
  </si>
  <si>
    <t>P_vizier</t>
  </si>
  <si>
    <t>Mis comentarios</t>
  </si>
  <si>
    <t>Period from 1st power break (6,676640) and Period from 2nd power break (4,682590	)</t>
  </si>
  <si>
    <t>Period from 1st power break (6,988460) and Period from 2nd power break (5,027340)</t>
  </si>
  <si>
    <t>Period from 1st power break (12,154700) and Period from 2nd power break (5,395630)</t>
  </si>
  <si>
    <t>Period from 1st power break (10,144300) and Period from 2nd power break (5,582600)</t>
  </si>
  <si>
    <t>Period from 1st power break (10,925000) and Period from 2nd power break (6,824300)</t>
  </si>
  <si>
    <t>Period from 1st power break (7,15922) and Period from 2nd power break (3,915010)</t>
  </si>
  <si>
    <t>Period from 1st power break (7,366210) and Period from 2nd power break (4,371720)</t>
  </si>
  <si>
    <t>Cadencia (min)</t>
  </si>
  <si>
    <t>sp14</t>
  </si>
  <si>
    <t>sp18</t>
  </si>
  <si>
    <t>sp16</t>
  </si>
  <si>
    <t>Poner puntos quality = 0</t>
  </si>
  <si>
    <t>Sectors PAPER</t>
  </si>
  <si>
    <t>Sectors general</t>
  </si>
  <si>
    <t>1, 8, 9</t>
  </si>
  <si>
    <t>14, 41, 54, 81</t>
  </si>
  <si>
    <t>15, 16, 17, 84</t>
  </si>
  <si>
    <t>1, 2, 6, 33, 43, 44, 45, 71, 72, 87</t>
  </si>
  <si>
    <t>24, 25, 26</t>
  </si>
  <si>
    <t>10, 11, 90</t>
  </si>
  <si>
    <t>6, 43, 44, 45, 71</t>
  </si>
  <si>
    <t>17, 18, 85</t>
  </si>
  <si>
    <t>11, 37, 38, 64, 65</t>
  </si>
  <si>
    <t>8, 9</t>
  </si>
  <si>
    <t>1, 10, 37, 64</t>
  </si>
  <si>
    <t>14, 15, 41, 75, 81, 82</t>
  </si>
  <si>
    <t>7, 34, 61, 88</t>
  </si>
  <si>
    <t>14, 54, 55, 74, 75, 81, 82</t>
  </si>
  <si>
    <t>19, 59, 86</t>
  </si>
  <si>
    <t>14(x5), 16, 17, 18, 24, 57, 58, 77, 78, 84, 85</t>
  </si>
  <si>
    <t>14(x2), 15, 16, 17, 55, 56, 57, 75, 76, 77, 82, 84</t>
  </si>
  <si>
    <t>16, 17, 18, 24, 56, 58, 76, 77, 78, 83, 85</t>
  </si>
  <si>
    <t>1, 8, 61, 62</t>
  </si>
  <si>
    <t>19, 59, 73, 86</t>
  </si>
  <si>
    <t>No mirar todos los sectores</t>
  </si>
  <si>
    <t>Contaminación</t>
  </si>
  <si>
    <t>Sector</t>
  </si>
  <si>
    <t>Notas</t>
  </si>
  <si>
    <t>NO INFO</t>
  </si>
  <si>
    <t>no vemos otras estrellas cercanas</t>
  </si>
  <si>
    <t>hay estrellas cercanas, pero no hay mas sectores</t>
  </si>
  <si>
    <t>Saco otros sectores porque hay estrellas cercanas</t>
  </si>
  <si>
    <t>no vemos otras estrellas cercanas (aperture alargada)</t>
  </si>
  <si>
    <t>HD 36408A y B: es un sist binario?? En sector 6 incluye 2 estrellas dentro de la apertura (en .dat solo aparece una), en los demás sectores no incluye ninguna estrella dentro de la apertura (solo el sector 44 tiene una estrella dentro de la apertura en .dat)</t>
  </si>
  <si>
    <t>P teórico</t>
  </si>
  <si>
    <t>P obtenido</t>
  </si>
  <si>
    <t>COMBINED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</si>
</sst>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
    <numFmt numFmtId="165" formatCode="0.00000"/>
    <numFmt numFmtId="166" formatCode="0.000"/>
  </numFmts>
  <fonts count="3" x14ac:knownFonts="1">
    <font>
      <sz val="11"/>
      <color theme="1"/>
      <name val="Calibri"/>
      <family val="2"/>
      <scheme val="minor"/>
    </font>
    <font>
      <b/>
      <sz val="11"/>
      <color theme="1"/>
      <name val="Calibri"/>
      <family val="2"/>
      <scheme val="minor"/>
    </font>
    <font>
      <sz val="8"/>
      <name val="Calibri"/>
      <family val="2"/>
      <scheme val="minor"/>
    </font>
  </fonts>
  <fills count="11">
    <fill>
      <patternFill patternType="none"/>
    </fill>
    <fill>
      <patternFill patternType="gray125"/>
    </fill>
    <fill>
      <patternFill patternType="solid">
        <fgColor theme="9" tint="0.59999389629810485"/>
        <bgColor indexed="64"/>
      </patternFill>
    </fill>
    <fill>
      <patternFill patternType="solid">
        <fgColor theme="4" tint="0.79998168889431442"/>
        <bgColor indexed="64"/>
      </patternFill>
    </fill>
    <fill>
      <patternFill patternType="solid">
        <fgColor rgb="FFC00000"/>
        <bgColor indexed="64"/>
      </patternFill>
    </fill>
    <fill>
      <patternFill patternType="solid">
        <fgColor rgb="FFFF99FF"/>
        <bgColor indexed="64"/>
      </patternFill>
    </fill>
    <fill>
      <patternFill patternType="solid">
        <fgColor rgb="FFFFCCFF"/>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rgb="FF00B0F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medium">
        <color indexed="64"/>
      </top>
      <bottom/>
      <diagonal/>
    </border>
  </borders>
  <cellStyleXfs count="1">
    <xf numFmtId="0" fontId="0" fillId="0" borderId="0"/>
  </cellStyleXfs>
  <cellXfs count="70">
    <xf numFmtId="0" fontId="0" fillId="0" borderId="0" xfId="0"/>
    <xf numFmtId="0" fontId="0" fillId="0" borderId="1" xfId="0" applyBorder="1" applyAlignment="1">
      <alignment horizontal="left"/>
    </xf>
    <xf numFmtId="0" fontId="0" fillId="0" borderId="1" xfId="0" applyBorder="1"/>
    <xf numFmtId="0" fontId="0" fillId="0" borderId="3" xfId="0" applyBorder="1" applyAlignment="1">
      <alignment horizontal="left"/>
    </xf>
    <xf numFmtId="0" fontId="1" fillId="2" borderId="4" xfId="0" applyFont="1" applyFill="1" applyBorder="1" applyAlignment="1">
      <alignment horizontal="center"/>
    </xf>
    <xf numFmtId="0" fontId="1" fillId="2" borderId="5" xfId="0" applyFont="1" applyFill="1" applyBorder="1" applyAlignment="1">
      <alignment horizontal="center"/>
    </xf>
    <xf numFmtId="0" fontId="1" fillId="2" borderId="6" xfId="0" applyFont="1" applyFill="1" applyBorder="1" applyAlignment="1">
      <alignment horizontal="center"/>
    </xf>
    <xf numFmtId="0" fontId="0" fillId="0" borderId="1" xfId="0" applyBorder="1" applyAlignment="1">
      <alignment horizontal="left" wrapText="1"/>
    </xf>
    <xf numFmtId="0" fontId="0" fillId="0" borderId="3" xfId="0" applyBorder="1"/>
    <xf numFmtId="0" fontId="1" fillId="2" borderId="2" xfId="0" applyFont="1" applyFill="1" applyBorder="1" applyAlignment="1">
      <alignment horizontal="center"/>
    </xf>
    <xf numFmtId="0" fontId="0" fillId="3" borderId="1" xfId="0" applyFill="1" applyBorder="1" applyAlignment="1">
      <alignment horizontal="left"/>
    </xf>
    <xf numFmtId="164" fontId="0" fillId="0" borderId="3" xfId="0" applyNumberFormat="1" applyBorder="1" applyAlignment="1">
      <alignment horizontal="left"/>
    </xf>
    <xf numFmtId="164" fontId="0" fillId="0" borderId="1" xfId="0" applyNumberFormat="1" applyBorder="1" applyAlignment="1">
      <alignment horizontal="left"/>
    </xf>
    <xf numFmtId="164" fontId="1" fillId="2" borderId="5" xfId="0" applyNumberFormat="1" applyFont="1" applyFill="1" applyBorder="1" applyAlignment="1">
      <alignment horizontal="center"/>
    </xf>
    <xf numFmtId="164" fontId="0" fillId="0" borderId="0" xfId="0" applyNumberFormat="1"/>
    <xf numFmtId="164" fontId="1" fillId="2" borderId="2" xfId="0" applyNumberFormat="1" applyFont="1" applyFill="1" applyBorder="1" applyAlignment="1">
      <alignment horizontal="center"/>
    </xf>
    <xf numFmtId="0" fontId="1" fillId="2" borderId="7" xfId="0" applyFont="1" applyFill="1" applyBorder="1" applyAlignment="1">
      <alignment horizontal="center"/>
    </xf>
    <xf numFmtId="0" fontId="0" fillId="0" borderId="0" xfId="0" applyAlignment="1">
      <alignment horizontal="left"/>
    </xf>
    <xf numFmtId="0" fontId="0" fillId="0" borderId="3" xfId="0" applyBorder="1" applyAlignment="1">
      <alignment horizontal="center" vertical="center"/>
    </xf>
    <xf numFmtId="0" fontId="0" fillId="0" borderId="1" xfId="0" applyBorder="1" applyAlignment="1">
      <alignment horizontal="center" vertical="center"/>
    </xf>
    <xf numFmtId="165" fontId="0" fillId="4" borderId="3" xfId="0" applyNumberFormat="1" applyFill="1" applyBorder="1" applyAlignment="1">
      <alignment horizontal="center" vertical="center"/>
    </xf>
    <xf numFmtId="166" fontId="0" fillId="0" borderId="1" xfId="0" applyNumberFormat="1" applyBorder="1" applyAlignment="1">
      <alignment horizontal="center" vertical="center"/>
    </xf>
    <xf numFmtId="0" fontId="0" fillId="5" borderId="10" xfId="0" applyFill="1" applyBorder="1" applyAlignment="1">
      <alignment horizontal="center" vertical="center"/>
    </xf>
    <xf numFmtId="166" fontId="0" fillId="0" borderId="10" xfId="0" applyNumberFormat="1" applyBorder="1" applyAlignment="1">
      <alignment horizontal="center" vertical="center"/>
    </xf>
    <xf numFmtId="0" fontId="1" fillId="6" borderId="8" xfId="0" applyFont="1" applyFill="1" applyBorder="1" applyAlignment="1">
      <alignment horizontal="center"/>
    </xf>
    <xf numFmtId="0" fontId="1" fillId="6" borderId="2" xfId="0" applyFont="1" applyFill="1" applyBorder="1" applyAlignment="1">
      <alignment horizontal="center"/>
    </xf>
    <xf numFmtId="0" fontId="1" fillId="6" borderId="9" xfId="0" applyFont="1" applyFill="1" applyBorder="1" applyAlignment="1">
      <alignment horizontal="center"/>
    </xf>
    <xf numFmtId="0" fontId="1" fillId="6" borderId="7" xfId="0" applyFont="1" applyFill="1" applyBorder="1" applyAlignment="1">
      <alignment horizontal="center"/>
    </xf>
    <xf numFmtId="0" fontId="0" fillId="7" borderId="1" xfId="0" applyFill="1" applyBorder="1" applyAlignment="1">
      <alignment horizontal="center" vertical="center"/>
    </xf>
    <xf numFmtId="0" fontId="0" fillId="2" borderId="1" xfId="0" applyFill="1" applyBorder="1" applyAlignment="1">
      <alignment horizontal="center" vertical="center"/>
    </xf>
    <xf numFmtId="0" fontId="0" fillId="5" borderId="1" xfId="0" applyFill="1" applyBorder="1" applyAlignment="1">
      <alignment horizontal="center"/>
    </xf>
    <xf numFmtId="0" fontId="0" fillId="0" borderId="1" xfId="0" applyBorder="1" applyAlignment="1">
      <alignment horizontal="center"/>
    </xf>
    <xf numFmtId="0" fontId="0" fillId="7" borderId="10" xfId="0" applyFill="1" applyBorder="1" applyAlignment="1">
      <alignment horizontal="center" vertical="center"/>
    </xf>
    <xf numFmtId="0" fontId="0" fillId="7" borderId="11" xfId="0" applyFill="1" applyBorder="1" applyAlignment="1">
      <alignment horizontal="center" vertical="center"/>
    </xf>
    <xf numFmtId="0" fontId="0" fillId="7" borderId="3" xfId="0" applyFill="1" applyBorder="1" applyAlignment="1">
      <alignment horizontal="center" vertical="center"/>
    </xf>
    <xf numFmtId="0" fontId="0" fillId="2" borderId="10" xfId="0" applyFill="1" applyBorder="1" applyAlignment="1">
      <alignment horizontal="center" vertical="center"/>
    </xf>
    <xf numFmtId="0" fontId="0" fillId="2" borderId="11" xfId="0" applyFill="1" applyBorder="1" applyAlignment="1">
      <alignment horizontal="center" vertical="center"/>
    </xf>
    <xf numFmtId="0" fontId="0" fillId="2" borderId="3" xfId="0" applyFill="1"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3" xfId="0" applyBorder="1" applyAlignment="1">
      <alignment horizontal="center" vertical="center"/>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3" xfId="0" applyBorder="1" applyAlignment="1">
      <alignment horizontal="center" vertical="center" wrapText="1"/>
    </xf>
    <xf numFmtId="0" fontId="0" fillId="0" borderId="12" xfId="0" applyBorder="1" applyAlignment="1">
      <alignment horizontal="center" vertical="center"/>
    </xf>
    <xf numFmtId="0" fontId="0" fillId="8" borderId="3" xfId="0" applyFill="1" applyBorder="1" applyAlignment="1">
      <alignment horizontal="center" vertical="center"/>
    </xf>
    <xf numFmtId="0" fontId="0" fillId="8" borderId="1" xfId="0" applyFill="1" applyBorder="1" applyAlignment="1">
      <alignment horizontal="center" vertical="center"/>
    </xf>
    <xf numFmtId="0" fontId="0" fillId="7" borderId="1" xfId="0" applyFill="1" applyBorder="1" applyAlignment="1">
      <alignment horizontal="center" vertical="center"/>
    </xf>
    <xf numFmtId="0" fontId="0" fillId="2" borderId="1" xfId="0" applyFill="1" applyBorder="1" applyAlignment="1">
      <alignment horizontal="center" vertical="center"/>
    </xf>
    <xf numFmtId="0" fontId="0" fillId="8" borderId="1" xfId="0" applyFill="1" applyBorder="1" applyAlignment="1">
      <alignment horizontal="center" vertical="center" wrapText="1"/>
    </xf>
    <xf numFmtId="0" fontId="0" fillId="0" borderId="3" xfId="0" applyFill="1" applyBorder="1" applyAlignment="1">
      <alignment horizontal="center" vertical="center"/>
    </xf>
    <xf numFmtId="165" fontId="0" fillId="0" borderId="3" xfId="0" applyNumberFormat="1" applyFill="1" applyBorder="1" applyAlignment="1">
      <alignment horizontal="center" vertical="center"/>
    </xf>
    <xf numFmtId="0" fontId="0" fillId="0" borderId="1" xfId="0" applyFill="1" applyBorder="1" applyAlignment="1">
      <alignment horizontal="center" vertical="center"/>
    </xf>
    <xf numFmtId="166" fontId="0" fillId="0" borderId="1" xfId="0" applyNumberFormat="1" applyFill="1" applyBorder="1" applyAlignment="1">
      <alignment horizontal="center" vertical="center"/>
    </xf>
    <xf numFmtId="0" fontId="0" fillId="0" borderId="10" xfId="0" applyFill="1" applyBorder="1" applyAlignment="1">
      <alignment horizontal="center" vertical="center"/>
    </xf>
    <xf numFmtId="166" fontId="0" fillId="0" borderId="10" xfId="0" applyNumberFormat="1" applyFill="1" applyBorder="1" applyAlignment="1">
      <alignment horizontal="center" vertical="center"/>
    </xf>
    <xf numFmtId="0" fontId="0" fillId="0" borderId="1" xfId="0" applyFill="1" applyBorder="1" applyAlignment="1">
      <alignment horizontal="center"/>
    </xf>
    <xf numFmtId="0" fontId="0" fillId="0" borderId="3" xfId="0" applyFill="1" applyBorder="1" applyAlignment="1">
      <alignment horizontal="center"/>
    </xf>
    <xf numFmtId="0" fontId="0" fillId="9" borderId="1" xfId="0" applyFill="1" applyBorder="1" applyAlignment="1">
      <alignment horizontal="center" vertical="center"/>
    </xf>
    <xf numFmtId="0" fontId="0" fillId="0" borderId="12" xfId="0" applyFill="1" applyBorder="1" applyAlignment="1">
      <alignment horizontal="center" vertical="center"/>
    </xf>
    <xf numFmtId="0" fontId="0" fillId="0" borderId="11" xfId="0" applyFill="1" applyBorder="1" applyAlignment="1">
      <alignment horizontal="center" vertical="center"/>
    </xf>
    <xf numFmtId="0" fontId="0" fillId="0" borderId="3" xfId="0" applyFill="1" applyBorder="1" applyAlignment="1">
      <alignment horizontal="center" vertical="center"/>
    </xf>
    <xf numFmtId="0" fontId="0" fillId="0" borderId="10" xfId="0" applyFill="1" applyBorder="1" applyAlignment="1">
      <alignment horizontal="center" vertical="center"/>
    </xf>
    <xf numFmtId="0" fontId="0" fillId="0" borderId="10" xfId="0" applyFill="1" applyBorder="1" applyAlignment="1">
      <alignment horizontal="center" vertical="center" wrapText="1"/>
    </xf>
    <xf numFmtId="0" fontId="0" fillId="0" borderId="11" xfId="0" applyFill="1" applyBorder="1" applyAlignment="1">
      <alignment horizontal="center" vertical="center" wrapText="1"/>
    </xf>
    <xf numFmtId="0" fontId="0" fillId="0" borderId="3" xfId="0" applyFill="1" applyBorder="1" applyAlignment="1">
      <alignment horizontal="center" vertical="center" wrapText="1"/>
    </xf>
    <xf numFmtId="164" fontId="0" fillId="0" borderId="1" xfId="0" applyNumberFormat="1" applyBorder="1" applyAlignment="1">
      <alignment horizontal="center"/>
    </xf>
    <xf numFmtId="0" fontId="0" fillId="0" borderId="0" xfId="0" applyAlignment="1">
      <alignment horizontal="center"/>
    </xf>
    <xf numFmtId="0" fontId="0" fillId="4" borderId="3" xfId="0" applyFill="1" applyBorder="1" applyAlignment="1">
      <alignment horizontal="center" vertical="center"/>
    </xf>
    <xf numFmtId="0" fontId="0" fillId="10" borderId="10" xfId="0"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5"/>
  <sheetViews>
    <sheetView topLeftCell="E1" workbookViewId="0">
      <selection activeCell="N23" sqref="N23"/>
    </sheetView>
  </sheetViews>
  <sheetFormatPr baseColWidth="10" defaultColWidth="8.88671875" defaultRowHeight="14.4" x14ac:dyDescent="0.3"/>
  <cols>
    <col min="1" max="2" width="17.5546875" customWidth="1"/>
    <col min="3" max="3" width="17.77734375" customWidth="1"/>
    <col min="4" max="4" width="17.88671875" customWidth="1"/>
    <col min="5" max="5" width="37.21875" customWidth="1"/>
    <col min="6" max="6" width="17.88671875" customWidth="1"/>
    <col min="14" max="14" width="9.44140625" style="14" customWidth="1"/>
    <col min="15" max="15" width="13.6640625" customWidth="1"/>
    <col min="16" max="16" width="13.5546875" style="14" customWidth="1"/>
    <col min="17" max="17" width="23.88671875" customWidth="1"/>
    <col min="18" max="18" width="26.33203125" customWidth="1"/>
    <col min="19" max="19" width="70.88671875" customWidth="1"/>
  </cols>
  <sheetData>
    <row r="1" spans="1:19" ht="15" thickBot="1" x14ac:dyDescent="0.35">
      <c r="A1" s="4" t="s">
        <v>0</v>
      </c>
      <c r="B1" s="5" t="s">
        <v>25</v>
      </c>
      <c r="C1" s="5" t="s">
        <v>7</v>
      </c>
      <c r="D1" s="5" t="s">
        <v>8</v>
      </c>
      <c r="E1" s="5" t="s">
        <v>130</v>
      </c>
      <c r="F1" s="5" t="s">
        <v>129</v>
      </c>
      <c r="G1" s="5" t="s">
        <v>1</v>
      </c>
      <c r="H1" s="5" t="s">
        <v>2</v>
      </c>
      <c r="I1" s="5" t="s">
        <v>3</v>
      </c>
      <c r="J1" s="5" t="s">
        <v>4</v>
      </c>
      <c r="K1" s="5" t="s">
        <v>5</v>
      </c>
      <c r="L1" s="5" t="s">
        <v>6</v>
      </c>
      <c r="M1" s="5" t="s">
        <v>9</v>
      </c>
      <c r="N1" s="13" t="s">
        <v>115</v>
      </c>
      <c r="O1" s="16" t="s">
        <v>124</v>
      </c>
      <c r="P1" s="15" t="s">
        <v>152</v>
      </c>
      <c r="Q1" s="9" t="s">
        <v>77</v>
      </c>
      <c r="R1" s="6" t="s">
        <v>10</v>
      </c>
      <c r="S1" s="9" t="s">
        <v>116</v>
      </c>
    </row>
    <row r="2" spans="1:19" x14ac:dyDescent="0.3">
      <c r="A2" s="3" t="s">
        <v>11</v>
      </c>
      <c r="B2" s="3">
        <v>1</v>
      </c>
      <c r="C2" s="3" t="s">
        <v>76</v>
      </c>
      <c r="D2" s="3">
        <v>75311623</v>
      </c>
      <c r="E2" s="3" t="s">
        <v>131</v>
      </c>
      <c r="F2" s="3">
        <v>9</v>
      </c>
      <c r="G2" s="3">
        <v>138.797</v>
      </c>
      <c r="H2" s="3">
        <v>-47.475000000000001</v>
      </c>
      <c r="I2" s="3" t="s">
        <v>26</v>
      </c>
      <c r="J2" s="3">
        <v>2.1789999999999998</v>
      </c>
      <c r="K2" s="3" t="s">
        <v>27</v>
      </c>
      <c r="L2" s="3" t="s">
        <v>28</v>
      </c>
      <c r="M2" s="3" t="s">
        <v>81</v>
      </c>
      <c r="N2" s="11">
        <v>5.2398300000000004</v>
      </c>
      <c r="O2" s="3">
        <v>2</v>
      </c>
      <c r="P2" s="11"/>
      <c r="Q2" s="8" t="s">
        <v>78</v>
      </c>
      <c r="R2" s="3"/>
      <c r="S2" s="2"/>
    </row>
    <row r="3" spans="1:19" x14ac:dyDescent="0.3">
      <c r="A3" s="1" t="s">
        <v>12</v>
      </c>
      <c r="B3" s="1">
        <v>1</v>
      </c>
      <c r="C3" s="3" t="s">
        <v>79</v>
      </c>
      <c r="D3" s="3">
        <v>49720925</v>
      </c>
      <c r="E3" s="3">
        <v>18</v>
      </c>
      <c r="F3" s="3">
        <v>18</v>
      </c>
      <c r="G3" s="1">
        <v>38.335999999999999</v>
      </c>
      <c r="H3" s="1">
        <v>61.521999999999998</v>
      </c>
      <c r="I3" s="1">
        <v>0.59399999999999997</v>
      </c>
      <c r="J3" s="1" t="s">
        <v>29</v>
      </c>
      <c r="K3" s="1" t="s">
        <v>30</v>
      </c>
      <c r="L3" s="1" t="s">
        <v>31</v>
      </c>
      <c r="M3" s="3" t="s">
        <v>81</v>
      </c>
      <c r="N3" s="12">
        <v>1.4510099999999999</v>
      </c>
      <c r="O3" s="3">
        <v>2</v>
      </c>
      <c r="P3" s="12"/>
      <c r="Q3" s="1" t="s">
        <v>80</v>
      </c>
      <c r="R3" s="1" t="s">
        <v>21</v>
      </c>
      <c r="S3" s="2"/>
    </row>
    <row r="4" spans="1:19" x14ac:dyDescent="0.3">
      <c r="A4" s="1" t="s">
        <v>13</v>
      </c>
      <c r="B4" s="1">
        <v>1</v>
      </c>
      <c r="C4" s="3" t="s">
        <v>82</v>
      </c>
      <c r="D4" s="3">
        <v>435781776</v>
      </c>
      <c r="E4" s="3" t="s">
        <v>132</v>
      </c>
      <c r="F4" s="3" t="s">
        <v>125</v>
      </c>
      <c r="G4" s="1">
        <v>297.70800000000003</v>
      </c>
      <c r="H4" s="1">
        <v>26.001999999999999</v>
      </c>
      <c r="I4" s="1" t="s">
        <v>32</v>
      </c>
      <c r="J4" s="1">
        <v>2.052</v>
      </c>
      <c r="K4" s="1">
        <v>7.0270000000000001</v>
      </c>
      <c r="L4" s="1" t="s">
        <v>33</v>
      </c>
      <c r="M4" s="3" t="s">
        <v>81</v>
      </c>
      <c r="N4" s="12">
        <v>0.67753300000000005</v>
      </c>
      <c r="O4" s="3">
        <v>2</v>
      </c>
      <c r="P4" s="12"/>
      <c r="Q4" s="1" t="s">
        <v>83</v>
      </c>
      <c r="R4" s="1"/>
      <c r="S4" s="2"/>
    </row>
    <row r="5" spans="1:19" x14ac:dyDescent="0.3">
      <c r="A5" s="1" t="s">
        <v>14</v>
      </c>
      <c r="B5" s="1">
        <v>1</v>
      </c>
      <c r="C5" s="1" t="s">
        <v>84</v>
      </c>
      <c r="D5" s="1">
        <v>434408053</v>
      </c>
      <c r="E5" s="1" t="s">
        <v>134</v>
      </c>
      <c r="F5" s="1">
        <v>6</v>
      </c>
      <c r="G5" s="1">
        <v>93.936999999999998</v>
      </c>
      <c r="H5" s="1">
        <v>12.551</v>
      </c>
      <c r="I5" s="1">
        <v>0.32400000000000001</v>
      </c>
      <c r="J5" s="1" t="s">
        <v>34</v>
      </c>
      <c r="K5" s="1" t="s">
        <v>35</v>
      </c>
      <c r="L5" s="1" t="s">
        <v>36</v>
      </c>
      <c r="M5" s="3" t="s">
        <v>81</v>
      </c>
      <c r="N5" s="12">
        <v>7.3338000000000001</v>
      </c>
      <c r="O5" s="3">
        <v>2</v>
      </c>
      <c r="P5" s="12"/>
      <c r="Q5" s="2" t="s">
        <v>78</v>
      </c>
      <c r="R5" s="1"/>
      <c r="S5" s="2"/>
    </row>
    <row r="6" spans="1:19" x14ac:dyDescent="0.3">
      <c r="A6" s="1" t="s">
        <v>15</v>
      </c>
      <c r="B6" s="1">
        <v>1</v>
      </c>
      <c r="C6" s="1" t="s">
        <v>85</v>
      </c>
      <c r="D6" s="1">
        <v>329074395</v>
      </c>
      <c r="E6" s="1" t="s">
        <v>133</v>
      </c>
      <c r="F6" s="1">
        <v>15</v>
      </c>
      <c r="G6" s="1">
        <v>319.38900000000001</v>
      </c>
      <c r="H6" s="1">
        <v>60.1</v>
      </c>
      <c r="I6" s="1" t="s">
        <v>26</v>
      </c>
      <c r="J6" s="1">
        <v>2.1720000000000002</v>
      </c>
      <c r="K6" s="1" t="s">
        <v>37</v>
      </c>
      <c r="L6" s="1" t="s">
        <v>38</v>
      </c>
      <c r="M6" s="3" t="s">
        <v>81</v>
      </c>
      <c r="N6" s="12">
        <v>3.7668200000000001</v>
      </c>
      <c r="O6" s="3">
        <v>2</v>
      </c>
      <c r="P6" s="12"/>
      <c r="Q6" s="2" t="s">
        <v>78</v>
      </c>
      <c r="R6" s="1"/>
      <c r="S6" s="2"/>
    </row>
    <row r="7" spans="1:19" x14ac:dyDescent="0.3">
      <c r="A7" s="1" t="s">
        <v>16</v>
      </c>
      <c r="B7" s="1">
        <v>1</v>
      </c>
      <c r="C7" s="10" t="s">
        <v>86</v>
      </c>
      <c r="D7" s="1">
        <v>316493106</v>
      </c>
      <c r="E7" s="1" t="s">
        <v>135</v>
      </c>
      <c r="F7" s="1">
        <v>24</v>
      </c>
      <c r="G7" s="1">
        <v>266.23099999999999</v>
      </c>
      <c r="H7" s="1">
        <v>50.043999999999997</v>
      </c>
      <c r="I7" s="1">
        <v>6.1219999999999999</v>
      </c>
      <c r="J7" s="1">
        <v>183.5</v>
      </c>
      <c r="K7" s="1">
        <v>151.69999999999999</v>
      </c>
      <c r="L7" s="1">
        <v>48.67</v>
      </c>
      <c r="M7" s="3" t="s">
        <v>81</v>
      </c>
      <c r="N7" s="12">
        <v>4.6325000000000003</v>
      </c>
      <c r="O7" s="3">
        <v>2</v>
      </c>
      <c r="P7" s="12"/>
      <c r="Q7" s="2" t="s">
        <v>87</v>
      </c>
      <c r="R7" s="1" t="s">
        <v>22</v>
      </c>
      <c r="S7" s="2"/>
    </row>
    <row r="8" spans="1:19" x14ac:dyDescent="0.3">
      <c r="A8" s="1" t="s">
        <v>17</v>
      </c>
      <c r="B8" s="1">
        <v>1</v>
      </c>
      <c r="C8" s="1" t="s">
        <v>88</v>
      </c>
      <c r="D8" s="1">
        <v>304996702</v>
      </c>
      <c r="E8" s="1" t="s">
        <v>136</v>
      </c>
      <c r="F8" s="1">
        <v>10</v>
      </c>
      <c r="G8" s="1">
        <v>165.684</v>
      </c>
      <c r="H8" s="1">
        <v>-58.819000000000003</v>
      </c>
      <c r="I8" s="1" t="s">
        <v>39</v>
      </c>
      <c r="J8" s="1">
        <v>0.91</v>
      </c>
      <c r="K8" s="1">
        <v>2.3010000000000002</v>
      </c>
      <c r="L8" s="1" t="s">
        <v>40</v>
      </c>
      <c r="M8" s="3" t="s">
        <v>81</v>
      </c>
      <c r="N8" s="12">
        <v>1.4137900000000001</v>
      </c>
      <c r="O8" s="3">
        <v>2</v>
      </c>
      <c r="P8" s="12"/>
      <c r="Q8" s="2" t="s">
        <v>78</v>
      </c>
      <c r="R8" s="1"/>
      <c r="S8" s="2"/>
    </row>
    <row r="9" spans="1:19" x14ac:dyDescent="0.3">
      <c r="A9" s="1" t="s">
        <v>18</v>
      </c>
      <c r="B9" s="1">
        <v>1</v>
      </c>
      <c r="C9" s="1" t="s">
        <v>91</v>
      </c>
      <c r="D9" s="1">
        <v>302824830</v>
      </c>
      <c r="E9" s="1" t="s">
        <v>137</v>
      </c>
      <c r="F9" s="1">
        <v>6</v>
      </c>
      <c r="G9" s="1">
        <v>83.058999999999997</v>
      </c>
      <c r="H9" s="1">
        <v>17.058</v>
      </c>
      <c r="I9" s="1">
        <v>0.42699999999999999</v>
      </c>
      <c r="J9" s="1">
        <v>1.2270000000000001</v>
      </c>
      <c r="K9" s="1">
        <v>3.7389999999999999</v>
      </c>
      <c r="L9" s="1">
        <v>4.056</v>
      </c>
      <c r="M9" s="3" t="s">
        <v>81</v>
      </c>
      <c r="N9" s="12">
        <v>3.2718099999999999</v>
      </c>
      <c r="O9" s="3">
        <v>2</v>
      </c>
      <c r="P9" s="12"/>
      <c r="Q9" s="2" t="s">
        <v>89</v>
      </c>
      <c r="R9" s="1" t="s">
        <v>23</v>
      </c>
      <c r="S9" s="2" t="s">
        <v>160</v>
      </c>
    </row>
    <row r="10" spans="1:19" x14ac:dyDescent="0.3">
      <c r="A10" s="1" t="s">
        <v>19</v>
      </c>
      <c r="B10" s="1">
        <v>1</v>
      </c>
      <c r="C10" s="1" t="s">
        <v>92</v>
      </c>
      <c r="D10" s="1">
        <v>284141111</v>
      </c>
      <c r="E10" s="1" t="s">
        <v>138</v>
      </c>
      <c r="F10" s="1" t="s">
        <v>126</v>
      </c>
      <c r="G10" s="1">
        <v>8.9619999999999997</v>
      </c>
      <c r="H10" s="1">
        <v>61.46</v>
      </c>
      <c r="I10" s="1">
        <v>0.33700000000000002</v>
      </c>
      <c r="J10" s="1">
        <v>1.0169999999999999</v>
      </c>
      <c r="K10" s="1">
        <v>5.4930000000000003</v>
      </c>
      <c r="L10" s="1" t="s">
        <v>41</v>
      </c>
      <c r="M10" s="3" t="s">
        <v>81</v>
      </c>
      <c r="N10" s="12">
        <v>0.62248000000000003</v>
      </c>
      <c r="O10" s="3">
        <v>2</v>
      </c>
      <c r="P10" s="12"/>
      <c r="Q10" s="2" t="s">
        <v>93</v>
      </c>
      <c r="R10" s="1"/>
      <c r="S10" s="2"/>
    </row>
    <row r="11" spans="1:19" x14ac:dyDescent="0.3">
      <c r="A11" s="1" t="s">
        <v>20</v>
      </c>
      <c r="B11" s="1">
        <v>1</v>
      </c>
      <c r="C11" s="1" t="s">
        <v>94</v>
      </c>
      <c r="D11" s="1">
        <v>277502552</v>
      </c>
      <c r="E11" s="1" t="s">
        <v>147</v>
      </c>
      <c r="F11" s="1" t="s">
        <v>127</v>
      </c>
      <c r="G11" s="1">
        <v>310.80700000000002</v>
      </c>
      <c r="H11" s="1">
        <v>57.113999999999997</v>
      </c>
      <c r="I11" s="1">
        <v>0.37</v>
      </c>
      <c r="J11" s="1">
        <v>0.92</v>
      </c>
      <c r="K11" s="1">
        <v>2.0649999999999999</v>
      </c>
      <c r="L11" s="1" t="s">
        <v>42</v>
      </c>
      <c r="M11" s="3" t="s">
        <v>81</v>
      </c>
      <c r="N11" s="12">
        <v>0.91777200000000003</v>
      </c>
      <c r="O11" s="3">
        <v>2</v>
      </c>
      <c r="P11" s="12"/>
      <c r="Q11" s="2" t="s">
        <v>95</v>
      </c>
      <c r="R11" s="1" t="s">
        <v>24</v>
      </c>
      <c r="S11" s="2" t="s">
        <v>151</v>
      </c>
    </row>
    <row r="12" spans="1:19" x14ac:dyDescent="0.3">
      <c r="A12" s="1" t="s">
        <v>43</v>
      </c>
      <c r="B12" s="1">
        <v>2</v>
      </c>
      <c r="C12" s="1" t="s">
        <v>96</v>
      </c>
      <c r="D12" s="1">
        <v>310883625</v>
      </c>
      <c r="E12" s="1" t="s">
        <v>139</v>
      </c>
      <c r="F12" s="1">
        <v>11</v>
      </c>
      <c r="G12" s="1">
        <v>185.33799999999999</v>
      </c>
      <c r="H12" s="1">
        <f>-62.282</f>
        <v>-62.281999999999996</v>
      </c>
      <c r="I12" s="1">
        <v>0.73299999999999998</v>
      </c>
      <c r="J12" s="1" t="s">
        <v>53</v>
      </c>
      <c r="K12" s="1" t="s">
        <v>52</v>
      </c>
      <c r="L12" s="1" t="s">
        <v>51</v>
      </c>
      <c r="M12" s="1">
        <v>6.7329999999999997</v>
      </c>
      <c r="N12" s="12">
        <v>6.6766399999999999</v>
      </c>
      <c r="O12" s="3">
        <v>2</v>
      </c>
      <c r="P12" s="12"/>
      <c r="Q12" s="1" t="s">
        <v>97</v>
      </c>
      <c r="R12" s="1" t="s">
        <v>50</v>
      </c>
      <c r="S12" s="2" t="s">
        <v>117</v>
      </c>
    </row>
    <row r="13" spans="1:19" x14ac:dyDescent="0.3">
      <c r="A13" s="1" t="s">
        <v>44</v>
      </c>
      <c r="B13" s="1">
        <v>2</v>
      </c>
      <c r="C13" s="1" t="s">
        <v>98</v>
      </c>
      <c r="D13" s="1">
        <v>29129672</v>
      </c>
      <c r="E13" s="1" t="s">
        <v>140</v>
      </c>
      <c r="F13" s="1">
        <v>8</v>
      </c>
      <c r="G13" s="1">
        <v>132.72200000000001</v>
      </c>
      <c r="H13" s="1">
        <v>-43.752000000000002</v>
      </c>
      <c r="I13" s="1">
        <v>0.52400000000000002</v>
      </c>
      <c r="J13" s="1" t="s">
        <v>57</v>
      </c>
      <c r="K13" s="1" t="s">
        <v>56</v>
      </c>
      <c r="L13" s="1" t="s">
        <v>55</v>
      </c>
      <c r="M13" s="3" t="s">
        <v>81</v>
      </c>
      <c r="N13" s="12">
        <v>6.9884599999999999</v>
      </c>
      <c r="O13" s="3">
        <v>2</v>
      </c>
      <c r="P13" s="12"/>
      <c r="Q13" s="1" t="s">
        <v>90</v>
      </c>
      <c r="R13" s="1" t="s">
        <v>54</v>
      </c>
      <c r="S13" s="2" t="s">
        <v>118</v>
      </c>
    </row>
    <row r="14" spans="1:19" x14ac:dyDescent="0.3">
      <c r="A14" s="1" t="s">
        <v>45</v>
      </c>
      <c r="B14" s="1">
        <v>2</v>
      </c>
      <c r="C14" s="1" t="s">
        <v>99</v>
      </c>
      <c r="D14" s="1">
        <v>288095171</v>
      </c>
      <c r="E14" s="1">
        <v>11</v>
      </c>
      <c r="F14" s="1">
        <v>11</v>
      </c>
      <c r="G14" s="1">
        <v>185.06299999999999</v>
      </c>
      <c r="H14" s="1">
        <v>-53.924999999999997</v>
      </c>
      <c r="I14" s="1">
        <v>1.03</v>
      </c>
      <c r="J14" s="1">
        <v>20.59</v>
      </c>
      <c r="K14" s="1">
        <v>7.5679999999999996</v>
      </c>
      <c r="L14" s="1">
        <v>2.5179999999999998</v>
      </c>
      <c r="M14" s="3" t="s">
        <v>81</v>
      </c>
      <c r="N14" s="12">
        <v>12.1547</v>
      </c>
      <c r="O14" s="3">
        <v>2</v>
      </c>
      <c r="P14" s="12"/>
      <c r="Q14" s="2" t="s">
        <v>87</v>
      </c>
      <c r="R14" s="1" t="s">
        <v>58</v>
      </c>
      <c r="S14" s="2" t="s">
        <v>119</v>
      </c>
    </row>
    <row r="15" spans="1:19" x14ac:dyDescent="0.3">
      <c r="A15" s="1" t="s">
        <v>46</v>
      </c>
      <c r="B15" s="1">
        <v>2</v>
      </c>
      <c r="C15" s="1" t="s">
        <v>100</v>
      </c>
      <c r="D15" s="1">
        <v>228758232</v>
      </c>
      <c r="E15" s="1" t="s">
        <v>141</v>
      </c>
      <c r="F15" s="1">
        <v>10</v>
      </c>
      <c r="G15" s="1">
        <v>194.126</v>
      </c>
      <c r="H15" s="1">
        <v>-26.46</v>
      </c>
      <c r="I15" s="1">
        <v>1.2410000000000001</v>
      </c>
      <c r="J15" s="1">
        <v>1.5880000000000001</v>
      </c>
      <c r="K15" s="1">
        <v>0.54900000000000004</v>
      </c>
      <c r="L15" s="1" t="s">
        <v>59</v>
      </c>
      <c r="M15" s="3" t="s">
        <v>81</v>
      </c>
      <c r="N15" s="12">
        <v>10.144299999999999</v>
      </c>
      <c r="O15" s="3">
        <v>2</v>
      </c>
      <c r="P15" s="12"/>
      <c r="Q15" s="2" t="s">
        <v>87</v>
      </c>
      <c r="R15" s="1" t="s">
        <v>22</v>
      </c>
      <c r="S15" s="2" t="s">
        <v>120</v>
      </c>
    </row>
    <row r="16" spans="1:19" x14ac:dyDescent="0.3">
      <c r="A16" s="1" t="s">
        <v>47</v>
      </c>
      <c r="B16" s="1">
        <v>2</v>
      </c>
      <c r="C16" s="7" t="s">
        <v>101</v>
      </c>
      <c r="D16" s="1">
        <v>13877074</v>
      </c>
      <c r="E16" s="1" t="s">
        <v>142</v>
      </c>
      <c r="F16" s="1">
        <v>14</v>
      </c>
      <c r="G16" s="1">
        <v>305.82600000000002</v>
      </c>
      <c r="H16" s="1">
        <v>40.759</v>
      </c>
      <c r="I16" s="1">
        <v>1.198</v>
      </c>
      <c r="J16" s="1" t="s">
        <v>61</v>
      </c>
      <c r="K16" s="1" t="s">
        <v>60</v>
      </c>
      <c r="L16" s="1">
        <v>52.55</v>
      </c>
      <c r="M16" s="3" t="s">
        <v>81</v>
      </c>
      <c r="N16" s="12">
        <v>10.925000000000001</v>
      </c>
      <c r="O16" s="3">
        <v>2</v>
      </c>
      <c r="P16" s="12"/>
      <c r="Q16" s="1" t="s">
        <v>90</v>
      </c>
      <c r="R16" s="1" t="s">
        <v>54</v>
      </c>
      <c r="S16" s="2" t="s">
        <v>121</v>
      </c>
    </row>
    <row r="17" spans="1:19" x14ac:dyDescent="0.3">
      <c r="A17" s="1" t="s">
        <v>48</v>
      </c>
      <c r="B17" s="1">
        <v>2</v>
      </c>
      <c r="C17" s="1" t="s">
        <v>102</v>
      </c>
      <c r="D17" s="1">
        <v>126441970</v>
      </c>
      <c r="E17" s="1" t="s">
        <v>143</v>
      </c>
      <c r="F17" s="1">
        <v>7</v>
      </c>
      <c r="G17" s="1">
        <v>115.952</v>
      </c>
      <c r="H17" s="1">
        <v>-28.954999999999998</v>
      </c>
      <c r="I17" s="1">
        <v>257.89999999999998</v>
      </c>
      <c r="J17" s="1">
        <v>146.69999999999999</v>
      </c>
      <c r="K17" s="1">
        <v>25.73</v>
      </c>
      <c r="L17" s="1">
        <v>7.2519999999999998</v>
      </c>
      <c r="M17" s="3" t="s">
        <v>81</v>
      </c>
      <c r="N17" s="12">
        <v>7.1592200000000004</v>
      </c>
      <c r="O17" s="3">
        <v>2</v>
      </c>
      <c r="P17" s="12"/>
      <c r="Q17" s="2" t="s">
        <v>103</v>
      </c>
      <c r="R17" s="1" t="s">
        <v>62</v>
      </c>
      <c r="S17" s="2" t="s">
        <v>122</v>
      </c>
    </row>
    <row r="18" spans="1:19" x14ac:dyDescent="0.3">
      <c r="A18" s="1" t="s">
        <v>49</v>
      </c>
      <c r="B18" s="1">
        <v>2</v>
      </c>
      <c r="C18" s="1" t="s">
        <v>104</v>
      </c>
      <c r="D18" s="1">
        <v>106111735</v>
      </c>
      <c r="E18" s="1" t="s">
        <v>144</v>
      </c>
      <c r="F18" s="1">
        <v>14</v>
      </c>
      <c r="G18" s="1">
        <v>301.15100000000001</v>
      </c>
      <c r="H18" s="1">
        <v>32.219000000000001</v>
      </c>
      <c r="I18" s="1">
        <v>2.444</v>
      </c>
      <c r="J18" s="1">
        <v>15.11</v>
      </c>
      <c r="K18" s="1" t="s">
        <v>63</v>
      </c>
      <c r="L18" s="1">
        <v>68.14</v>
      </c>
      <c r="M18" s="3" t="s">
        <v>81</v>
      </c>
      <c r="N18" s="12">
        <v>7.3662099999999997</v>
      </c>
      <c r="O18" s="3">
        <v>2</v>
      </c>
      <c r="P18" s="12"/>
      <c r="Q18" s="1" t="s">
        <v>90</v>
      </c>
      <c r="R18" s="1" t="s">
        <v>54</v>
      </c>
      <c r="S18" s="2" t="s">
        <v>123</v>
      </c>
    </row>
    <row r="19" spans="1:19" x14ac:dyDescent="0.3">
      <c r="A19" s="1" t="s">
        <v>68</v>
      </c>
      <c r="B19" s="1">
        <v>3</v>
      </c>
      <c r="C19" s="1" t="s">
        <v>106</v>
      </c>
      <c r="D19" s="1">
        <v>72696935</v>
      </c>
      <c r="E19" s="1" t="s">
        <v>145</v>
      </c>
      <c r="F19" s="1">
        <v>19</v>
      </c>
      <c r="G19" s="1">
        <v>60.097000000000001</v>
      </c>
      <c r="H19" s="1">
        <v>56.902000000000001</v>
      </c>
      <c r="I19" s="1" t="s">
        <v>26</v>
      </c>
      <c r="J19" s="1">
        <v>0.95899999999999996</v>
      </c>
      <c r="K19" s="1">
        <v>2.6379999999999999</v>
      </c>
      <c r="L19" s="1">
        <v>3.927</v>
      </c>
      <c r="M19" s="1" t="s">
        <v>105</v>
      </c>
      <c r="N19" s="12">
        <v>0.543462</v>
      </c>
      <c r="O19" s="3">
        <v>2</v>
      </c>
      <c r="P19" s="12"/>
      <c r="Q19" s="2" t="s">
        <v>107</v>
      </c>
      <c r="R19" s="1" t="s">
        <v>69</v>
      </c>
      <c r="S19" s="2"/>
    </row>
    <row r="20" spans="1:19" x14ac:dyDescent="0.3">
      <c r="A20" s="1" t="s">
        <v>64</v>
      </c>
      <c r="B20" s="1">
        <v>3</v>
      </c>
      <c r="C20" s="1" t="s">
        <v>109</v>
      </c>
      <c r="D20" s="1">
        <v>337886863</v>
      </c>
      <c r="E20" s="1" t="s">
        <v>146</v>
      </c>
      <c r="F20" s="1">
        <v>24</v>
      </c>
      <c r="G20" s="1">
        <v>337.32299999999998</v>
      </c>
      <c r="H20" s="1">
        <v>65.113</v>
      </c>
      <c r="I20" s="1" t="s">
        <v>72</v>
      </c>
      <c r="J20" s="1">
        <v>1.1499999999999999</v>
      </c>
      <c r="K20" s="1">
        <v>3.3980000000000001</v>
      </c>
      <c r="L20" s="1" t="s">
        <v>71</v>
      </c>
      <c r="M20" s="1" t="s">
        <v>108</v>
      </c>
      <c r="N20" s="12">
        <v>5.7008099999999997</v>
      </c>
      <c r="O20" s="3">
        <v>2</v>
      </c>
      <c r="P20" s="12"/>
      <c r="Q20" s="2" t="s">
        <v>110</v>
      </c>
      <c r="R20" s="1" t="s">
        <v>70</v>
      </c>
      <c r="S20" s="2"/>
    </row>
    <row r="21" spans="1:19" x14ac:dyDescent="0.3">
      <c r="A21" s="1" t="s">
        <v>65</v>
      </c>
      <c r="B21" s="1">
        <v>3</v>
      </c>
      <c r="C21" s="1" t="s">
        <v>111</v>
      </c>
      <c r="D21" s="1">
        <v>275420565</v>
      </c>
      <c r="E21" s="1" t="s">
        <v>148</v>
      </c>
      <c r="F21" s="1" t="s">
        <v>127</v>
      </c>
      <c r="G21" s="1">
        <v>319.84300000000002</v>
      </c>
      <c r="H21" s="1">
        <v>64.872</v>
      </c>
      <c r="I21" s="1">
        <v>0.71</v>
      </c>
      <c r="J21" s="1">
        <v>2.3109999999999999</v>
      </c>
      <c r="K21" s="1">
        <v>14.52</v>
      </c>
      <c r="L21" s="1" t="s">
        <v>40</v>
      </c>
      <c r="M21" s="3" t="s">
        <v>81</v>
      </c>
      <c r="N21" s="12">
        <v>1.6960599999999999</v>
      </c>
      <c r="O21" s="3">
        <v>2</v>
      </c>
      <c r="P21" s="12"/>
      <c r="Q21" s="2" t="s">
        <v>89</v>
      </c>
      <c r="R21" s="1" t="s">
        <v>73</v>
      </c>
      <c r="S21" s="2"/>
    </row>
    <row r="22" spans="1:19" x14ac:dyDescent="0.3">
      <c r="A22" s="1" t="s">
        <v>66</v>
      </c>
      <c r="B22" s="1">
        <v>3</v>
      </c>
      <c r="C22" s="1" t="s">
        <v>112</v>
      </c>
      <c r="D22" s="1">
        <v>180730928</v>
      </c>
      <c r="E22" s="1" t="s">
        <v>149</v>
      </c>
      <c r="F22" s="1">
        <v>8</v>
      </c>
      <c r="G22" s="1">
        <v>129.53700000000001</v>
      </c>
      <c r="H22" s="1">
        <v>-40.081000000000003</v>
      </c>
      <c r="I22" s="1" t="s">
        <v>26</v>
      </c>
      <c r="J22" s="1">
        <v>0.55700000000000005</v>
      </c>
      <c r="K22" s="1">
        <v>3.5369999999999999</v>
      </c>
      <c r="L22" s="1">
        <v>3.9940000000000002</v>
      </c>
      <c r="M22" s="1">
        <v>1.134924</v>
      </c>
      <c r="N22" s="12">
        <v>0.56733900000000004</v>
      </c>
      <c r="O22" s="3">
        <v>2</v>
      </c>
      <c r="P22" s="12"/>
      <c r="Q22" s="2" t="s">
        <v>110</v>
      </c>
      <c r="R22" s="1" t="s">
        <v>70</v>
      </c>
      <c r="S22" s="2"/>
    </row>
    <row r="23" spans="1:19" x14ac:dyDescent="0.3">
      <c r="A23" s="1" t="s">
        <v>67</v>
      </c>
      <c r="B23" s="1">
        <v>3</v>
      </c>
      <c r="C23" s="1" t="s">
        <v>113</v>
      </c>
      <c r="D23" s="1">
        <v>143681075</v>
      </c>
      <c r="E23" s="1" t="s">
        <v>150</v>
      </c>
      <c r="F23" s="1">
        <v>19</v>
      </c>
      <c r="G23" s="1">
        <v>80.647000000000006</v>
      </c>
      <c r="H23" s="1">
        <v>37.676000000000002</v>
      </c>
      <c r="I23" s="1" t="s">
        <v>75</v>
      </c>
      <c r="J23" s="1">
        <v>0.85599999999999998</v>
      </c>
      <c r="K23" s="1">
        <v>1.964</v>
      </c>
      <c r="L23" s="1">
        <v>3.8180000000000001</v>
      </c>
      <c r="M23" s="3" t="s">
        <v>81</v>
      </c>
      <c r="N23" s="12">
        <v>1.33982</v>
      </c>
      <c r="O23" s="3">
        <v>2</v>
      </c>
      <c r="P23" s="12"/>
      <c r="Q23" s="2" t="s">
        <v>114</v>
      </c>
      <c r="R23" s="1" t="s">
        <v>74</v>
      </c>
      <c r="S23" s="2"/>
    </row>
    <row r="25" spans="1:19" x14ac:dyDescent="0.3">
      <c r="A25" s="17" t="s">
        <v>128</v>
      </c>
    </row>
  </sheetData>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A85D4-5E63-47A8-9899-65C28110F43B}">
  <dimension ref="A1:H111"/>
  <sheetViews>
    <sheetView topLeftCell="A95" workbookViewId="0">
      <selection sqref="A1:H111"/>
    </sheetView>
  </sheetViews>
  <sheetFormatPr baseColWidth="10" defaultRowHeight="14.4" x14ac:dyDescent="0.3"/>
  <cols>
    <col min="2" max="2" width="16.77734375" customWidth="1"/>
    <col min="5" max="5" width="13.44140625" customWidth="1"/>
    <col min="7" max="7" width="13.44140625" customWidth="1"/>
    <col min="8" max="8" width="45" customWidth="1"/>
  </cols>
  <sheetData>
    <row r="1" spans="1:8" ht="15" thickBot="1" x14ac:dyDescent="0.35">
      <c r="A1" s="24" t="s">
        <v>0</v>
      </c>
      <c r="B1" s="25" t="s">
        <v>7</v>
      </c>
      <c r="C1" s="26" t="s">
        <v>8</v>
      </c>
      <c r="D1" s="27" t="s">
        <v>153</v>
      </c>
      <c r="E1" s="25" t="s">
        <v>152</v>
      </c>
      <c r="F1" s="27" t="s">
        <v>162</v>
      </c>
      <c r="G1" s="25" t="s">
        <v>161</v>
      </c>
      <c r="H1" s="26" t="s">
        <v>154</v>
      </c>
    </row>
    <row r="2" spans="1:8" x14ac:dyDescent="0.3">
      <c r="A2" s="45" t="s">
        <v>11</v>
      </c>
      <c r="B2" s="45" t="s">
        <v>76</v>
      </c>
      <c r="C2" s="45">
        <v>75311623</v>
      </c>
      <c r="D2" s="18">
        <v>1</v>
      </c>
      <c r="E2" s="20" t="s">
        <v>155</v>
      </c>
      <c r="F2" s="50"/>
      <c r="G2" s="51"/>
      <c r="H2" s="44"/>
    </row>
    <row r="3" spans="1:8" x14ac:dyDescent="0.3">
      <c r="A3" s="46"/>
      <c r="B3" s="46"/>
      <c r="C3" s="46"/>
      <c r="D3" s="19">
        <v>8</v>
      </c>
      <c r="E3" s="21">
        <v>1310.8510000000001</v>
      </c>
      <c r="F3" s="52"/>
      <c r="G3" s="53"/>
      <c r="H3" s="39"/>
    </row>
    <row r="4" spans="1:8" x14ac:dyDescent="0.3">
      <c r="A4" s="46"/>
      <c r="B4" s="46"/>
      <c r="C4" s="46"/>
      <c r="D4" s="22">
        <v>9</v>
      </c>
      <c r="E4" s="23">
        <v>1310.8510000000001</v>
      </c>
      <c r="F4" s="54"/>
      <c r="G4" s="55"/>
      <c r="H4" s="40"/>
    </row>
    <row r="5" spans="1:8" x14ac:dyDescent="0.3">
      <c r="A5" s="29" t="s">
        <v>12</v>
      </c>
      <c r="B5" s="29" t="s">
        <v>79</v>
      </c>
      <c r="C5" s="29">
        <v>49720925</v>
      </c>
      <c r="D5" s="30">
        <v>18</v>
      </c>
      <c r="E5" s="19">
        <v>0</v>
      </c>
      <c r="F5" s="56"/>
      <c r="G5" s="52"/>
      <c r="H5" s="19" t="s">
        <v>157</v>
      </c>
    </row>
    <row r="6" spans="1:8" x14ac:dyDescent="0.3">
      <c r="A6" s="47" t="s">
        <v>13</v>
      </c>
      <c r="B6" s="47" t="s">
        <v>82</v>
      </c>
      <c r="C6" s="47">
        <v>435781776</v>
      </c>
      <c r="D6" s="30">
        <v>14</v>
      </c>
      <c r="E6" s="19">
        <v>1.296</v>
      </c>
      <c r="F6" s="56"/>
      <c r="G6" s="52"/>
      <c r="H6" s="38"/>
    </row>
    <row r="7" spans="1:8" x14ac:dyDescent="0.3">
      <c r="A7" s="47"/>
      <c r="B7" s="47"/>
      <c r="C7" s="47"/>
      <c r="D7" s="31">
        <v>41</v>
      </c>
      <c r="E7" s="19">
        <v>1.232</v>
      </c>
      <c r="F7" s="56"/>
      <c r="G7" s="52"/>
      <c r="H7" s="39"/>
    </row>
    <row r="8" spans="1:8" x14ac:dyDescent="0.3">
      <c r="A8" s="47"/>
      <c r="B8" s="47"/>
      <c r="C8" s="47"/>
      <c r="D8" s="31">
        <v>54</v>
      </c>
      <c r="E8" s="19">
        <v>1.8460000000000001</v>
      </c>
      <c r="F8" s="56"/>
      <c r="G8" s="52"/>
      <c r="H8" s="39"/>
    </row>
    <row r="9" spans="1:8" x14ac:dyDescent="0.3">
      <c r="A9" s="47"/>
      <c r="B9" s="47"/>
      <c r="C9" s="47"/>
      <c r="D9" s="31">
        <v>81</v>
      </c>
      <c r="E9" s="19">
        <v>2.7269999999999999</v>
      </c>
      <c r="F9" s="56"/>
      <c r="G9" s="52"/>
      <c r="H9" s="40"/>
    </row>
    <row r="10" spans="1:8" x14ac:dyDescent="0.3">
      <c r="A10" s="48" t="s">
        <v>14</v>
      </c>
      <c r="B10" s="48" t="s">
        <v>84</v>
      </c>
      <c r="C10" s="48">
        <v>434408053</v>
      </c>
      <c r="D10" s="31">
        <v>1</v>
      </c>
      <c r="E10" s="20" t="s">
        <v>155</v>
      </c>
      <c r="F10" s="57"/>
      <c r="G10" s="51"/>
      <c r="H10" s="38" t="s">
        <v>156</v>
      </c>
    </row>
    <row r="11" spans="1:8" x14ac:dyDescent="0.3">
      <c r="A11" s="48"/>
      <c r="B11" s="48"/>
      <c r="C11" s="48"/>
      <c r="D11" s="31">
        <v>2</v>
      </c>
      <c r="E11" s="20" t="s">
        <v>155</v>
      </c>
      <c r="F11" s="57"/>
      <c r="G11" s="51"/>
      <c r="H11" s="39"/>
    </row>
    <row r="12" spans="1:8" x14ac:dyDescent="0.3">
      <c r="A12" s="48"/>
      <c r="B12" s="48"/>
      <c r="C12" s="48"/>
      <c r="D12" s="30">
        <v>6</v>
      </c>
      <c r="E12" s="19">
        <v>0</v>
      </c>
      <c r="F12" s="56"/>
      <c r="G12" s="52"/>
      <c r="H12" s="39"/>
    </row>
    <row r="13" spans="1:8" x14ac:dyDescent="0.3">
      <c r="A13" s="48"/>
      <c r="B13" s="48"/>
      <c r="C13" s="48"/>
      <c r="D13" s="31">
        <v>33</v>
      </c>
      <c r="E13" s="19">
        <v>0</v>
      </c>
      <c r="F13" s="56"/>
      <c r="G13" s="52"/>
      <c r="H13" s="39"/>
    </row>
    <row r="14" spans="1:8" x14ac:dyDescent="0.3">
      <c r="A14" s="48"/>
      <c r="B14" s="48"/>
      <c r="C14" s="48"/>
      <c r="D14" s="31">
        <v>43</v>
      </c>
      <c r="E14" s="19">
        <v>0</v>
      </c>
      <c r="F14" s="56"/>
      <c r="G14" s="52"/>
      <c r="H14" s="39"/>
    </row>
    <row r="15" spans="1:8" x14ac:dyDescent="0.3">
      <c r="A15" s="48"/>
      <c r="B15" s="48"/>
      <c r="C15" s="48"/>
      <c r="D15" s="31">
        <v>44</v>
      </c>
      <c r="E15" s="19">
        <v>0</v>
      </c>
      <c r="F15" s="56"/>
      <c r="G15" s="52"/>
      <c r="H15" s="39"/>
    </row>
    <row r="16" spans="1:8" x14ac:dyDescent="0.3">
      <c r="A16" s="48"/>
      <c r="B16" s="48"/>
      <c r="C16" s="48"/>
      <c r="D16" s="31">
        <v>45</v>
      </c>
      <c r="E16" s="19">
        <v>0</v>
      </c>
      <c r="F16" s="56"/>
      <c r="G16" s="52"/>
      <c r="H16" s="39"/>
    </row>
    <row r="17" spans="1:8" x14ac:dyDescent="0.3">
      <c r="A17" s="48"/>
      <c r="B17" s="48"/>
      <c r="C17" s="48"/>
      <c r="D17" s="31">
        <v>71</v>
      </c>
      <c r="E17" s="19">
        <v>0</v>
      </c>
      <c r="F17" s="56"/>
      <c r="G17" s="52"/>
      <c r="H17" s="39"/>
    </row>
    <row r="18" spans="1:8" x14ac:dyDescent="0.3">
      <c r="A18" s="48"/>
      <c r="B18" s="48"/>
      <c r="C18" s="48"/>
      <c r="D18" s="31">
        <v>72</v>
      </c>
      <c r="E18" s="19">
        <v>0</v>
      </c>
      <c r="F18" s="56"/>
      <c r="G18" s="52"/>
      <c r="H18" s="39"/>
    </row>
    <row r="19" spans="1:8" x14ac:dyDescent="0.3">
      <c r="A19" s="48"/>
      <c r="B19" s="48"/>
      <c r="C19" s="48"/>
      <c r="D19" s="31">
        <v>87</v>
      </c>
      <c r="E19" s="19">
        <v>0</v>
      </c>
      <c r="F19" s="56"/>
      <c r="G19" s="52"/>
      <c r="H19" s="40"/>
    </row>
    <row r="20" spans="1:8" x14ac:dyDescent="0.3">
      <c r="A20" s="48" t="s">
        <v>15</v>
      </c>
      <c r="B20" s="48" t="s">
        <v>85</v>
      </c>
      <c r="C20" s="48">
        <v>329074395</v>
      </c>
      <c r="D20" s="30">
        <v>15</v>
      </c>
      <c r="E20" s="19">
        <v>0</v>
      </c>
      <c r="F20" s="56"/>
      <c r="G20" s="52"/>
      <c r="H20" s="32" t="s">
        <v>158</v>
      </c>
    </row>
    <row r="21" spans="1:8" x14ac:dyDescent="0.3">
      <c r="A21" s="48"/>
      <c r="B21" s="48"/>
      <c r="C21" s="48"/>
      <c r="D21" s="31">
        <v>16</v>
      </c>
      <c r="E21" s="19">
        <v>1.3280000000000001</v>
      </c>
      <c r="F21" s="56"/>
      <c r="G21" s="52"/>
      <c r="H21" s="33"/>
    </row>
    <row r="22" spans="1:8" x14ac:dyDescent="0.3">
      <c r="A22" s="48"/>
      <c r="B22" s="48"/>
      <c r="C22" s="48"/>
      <c r="D22" s="31">
        <v>17</v>
      </c>
      <c r="E22" s="19">
        <v>1.3280000000000001</v>
      </c>
      <c r="F22" s="56"/>
      <c r="G22" s="52"/>
      <c r="H22" s="33"/>
    </row>
    <row r="23" spans="1:8" x14ac:dyDescent="0.3">
      <c r="A23" s="48"/>
      <c r="B23" s="48"/>
      <c r="C23" s="48"/>
      <c r="D23" s="31">
        <v>84</v>
      </c>
      <c r="E23" s="19">
        <v>0</v>
      </c>
      <c r="F23" s="56"/>
      <c r="G23" s="52"/>
      <c r="H23" s="34"/>
    </row>
    <row r="24" spans="1:8" x14ac:dyDescent="0.3">
      <c r="A24" s="48" t="s">
        <v>16</v>
      </c>
      <c r="B24" s="48" t="s">
        <v>86</v>
      </c>
      <c r="C24" s="48">
        <v>316493106</v>
      </c>
      <c r="D24" s="30">
        <v>24</v>
      </c>
      <c r="E24" s="19">
        <v>0</v>
      </c>
      <c r="F24" s="56"/>
      <c r="G24" s="52"/>
      <c r="H24" s="38" t="s">
        <v>156</v>
      </c>
    </row>
    <row r="25" spans="1:8" x14ac:dyDescent="0.3">
      <c r="A25" s="48"/>
      <c r="B25" s="48"/>
      <c r="C25" s="48"/>
      <c r="D25" s="31">
        <v>25</v>
      </c>
      <c r="E25" s="19"/>
      <c r="F25" s="56"/>
      <c r="G25" s="52"/>
      <c r="H25" s="39"/>
    </row>
    <row r="26" spans="1:8" x14ac:dyDescent="0.3">
      <c r="A26" s="48"/>
      <c r="B26" s="48"/>
      <c r="C26" s="48"/>
      <c r="D26" s="31">
        <v>26</v>
      </c>
      <c r="E26" s="19"/>
      <c r="F26" s="56"/>
      <c r="G26" s="52"/>
      <c r="H26" s="40"/>
    </row>
    <row r="27" spans="1:8" x14ac:dyDescent="0.3">
      <c r="A27" s="47" t="s">
        <v>17</v>
      </c>
      <c r="B27" s="47" t="s">
        <v>88</v>
      </c>
      <c r="C27" s="47">
        <v>304996702</v>
      </c>
      <c r="D27" s="30">
        <v>10</v>
      </c>
      <c r="E27" s="19">
        <v>0.47099999999999997</v>
      </c>
      <c r="F27" s="56"/>
      <c r="G27" s="52"/>
      <c r="H27" s="38"/>
    </row>
    <row r="28" spans="1:8" x14ac:dyDescent="0.3">
      <c r="A28" s="47"/>
      <c r="B28" s="47"/>
      <c r="C28" s="47"/>
      <c r="D28" s="31">
        <v>11</v>
      </c>
      <c r="E28" s="19">
        <v>1.024</v>
      </c>
      <c r="F28" s="56"/>
      <c r="G28" s="52"/>
      <c r="H28" s="39"/>
    </row>
    <row r="29" spans="1:8" x14ac:dyDescent="0.3">
      <c r="A29" s="47"/>
      <c r="B29" s="47"/>
      <c r="C29" s="47"/>
      <c r="D29" s="31">
        <v>90</v>
      </c>
      <c r="E29" s="19">
        <v>0.47099999999999997</v>
      </c>
      <c r="F29" s="56"/>
      <c r="G29" s="52"/>
      <c r="H29" s="40"/>
    </row>
    <row r="30" spans="1:8" x14ac:dyDescent="0.3">
      <c r="A30" s="48" t="s">
        <v>18</v>
      </c>
      <c r="B30" s="48" t="s">
        <v>91</v>
      </c>
      <c r="C30" s="48">
        <v>302824830</v>
      </c>
      <c r="D30" s="30">
        <v>6</v>
      </c>
      <c r="E30" s="19">
        <v>0</v>
      </c>
      <c r="F30" s="56"/>
      <c r="G30" s="52"/>
      <c r="H30" s="35" t="s">
        <v>158</v>
      </c>
    </row>
    <row r="31" spans="1:8" x14ac:dyDescent="0.3">
      <c r="A31" s="48"/>
      <c r="B31" s="48"/>
      <c r="C31" s="48"/>
      <c r="D31" s="31">
        <v>43</v>
      </c>
      <c r="E31" s="19">
        <v>0</v>
      </c>
      <c r="F31" s="56"/>
      <c r="G31" s="52"/>
      <c r="H31" s="36"/>
    </row>
    <row r="32" spans="1:8" x14ac:dyDescent="0.3">
      <c r="A32" s="48"/>
      <c r="B32" s="48"/>
      <c r="C32" s="48"/>
      <c r="D32" s="31">
        <v>44</v>
      </c>
      <c r="E32" s="19">
        <v>0</v>
      </c>
      <c r="F32" s="56"/>
      <c r="G32" s="52"/>
      <c r="H32" s="36"/>
    </row>
    <row r="33" spans="1:8" x14ac:dyDescent="0.3">
      <c r="A33" s="48"/>
      <c r="B33" s="48"/>
      <c r="C33" s="48"/>
      <c r="D33" s="31">
        <v>45</v>
      </c>
      <c r="E33" s="19">
        <v>0</v>
      </c>
      <c r="F33" s="56"/>
      <c r="G33" s="52"/>
      <c r="H33" s="36"/>
    </row>
    <row r="34" spans="1:8" x14ac:dyDescent="0.3">
      <c r="A34" s="48"/>
      <c r="B34" s="48"/>
      <c r="C34" s="48"/>
      <c r="D34" s="31">
        <v>71</v>
      </c>
      <c r="E34" s="19">
        <v>0</v>
      </c>
      <c r="F34" s="56"/>
      <c r="G34" s="52"/>
      <c r="H34" s="37"/>
    </row>
    <row r="35" spans="1:8" x14ac:dyDescent="0.3">
      <c r="A35" s="47" t="s">
        <v>19</v>
      </c>
      <c r="B35" s="47" t="s">
        <v>92</v>
      </c>
      <c r="C35" s="47">
        <v>284141111</v>
      </c>
      <c r="D35" s="31">
        <v>17</v>
      </c>
      <c r="E35" s="19">
        <v>1.069</v>
      </c>
      <c r="F35" s="56"/>
      <c r="G35" s="52"/>
      <c r="H35" s="38"/>
    </row>
    <row r="36" spans="1:8" x14ac:dyDescent="0.3">
      <c r="A36" s="47"/>
      <c r="B36" s="47"/>
      <c r="C36" s="47"/>
      <c r="D36" s="30">
        <v>18</v>
      </c>
      <c r="E36" s="19">
        <v>1.6859999999999999</v>
      </c>
      <c r="F36" s="56"/>
      <c r="G36" s="52"/>
      <c r="H36" s="39"/>
    </row>
    <row r="37" spans="1:8" x14ac:dyDescent="0.3">
      <c r="A37" s="47"/>
      <c r="B37" s="47"/>
      <c r="C37" s="47"/>
      <c r="D37" s="31">
        <v>85</v>
      </c>
      <c r="E37" s="19">
        <v>1.6859999999999999</v>
      </c>
      <c r="F37" s="56"/>
      <c r="G37" s="52"/>
      <c r="H37" s="40"/>
    </row>
    <row r="38" spans="1:8" x14ac:dyDescent="0.3">
      <c r="A38" s="48" t="s">
        <v>20</v>
      </c>
      <c r="B38" s="48" t="s">
        <v>94</v>
      </c>
      <c r="C38" s="48">
        <v>277502552</v>
      </c>
      <c r="D38" s="31">
        <v>14</v>
      </c>
      <c r="E38" s="20" t="s">
        <v>155</v>
      </c>
      <c r="F38" s="57"/>
      <c r="G38" s="51"/>
      <c r="H38" s="35" t="s">
        <v>158</v>
      </c>
    </row>
    <row r="39" spans="1:8" x14ac:dyDescent="0.3">
      <c r="A39" s="48"/>
      <c r="B39" s="48"/>
      <c r="C39" s="48"/>
      <c r="D39" s="31">
        <v>15</v>
      </c>
      <c r="E39" s="19">
        <v>0</v>
      </c>
      <c r="F39" s="56"/>
      <c r="G39" s="52"/>
      <c r="H39" s="36"/>
    </row>
    <row r="40" spans="1:8" x14ac:dyDescent="0.3">
      <c r="A40" s="48"/>
      <c r="B40" s="48"/>
      <c r="C40" s="48"/>
      <c r="D40" s="30">
        <v>16</v>
      </c>
      <c r="E40" s="19">
        <v>0</v>
      </c>
      <c r="F40" s="56"/>
      <c r="G40" s="52"/>
      <c r="H40" s="36"/>
    </row>
    <row r="41" spans="1:8" x14ac:dyDescent="0.3">
      <c r="A41" s="48"/>
      <c r="B41" s="48"/>
      <c r="C41" s="48"/>
      <c r="D41" s="31">
        <v>17</v>
      </c>
      <c r="E41" s="19">
        <v>0</v>
      </c>
      <c r="F41" s="56"/>
      <c r="G41" s="52"/>
      <c r="H41" s="36"/>
    </row>
    <row r="42" spans="1:8" x14ac:dyDescent="0.3">
      <c r="A42" s="48"/>
      <c r="B42" s="48"/>
      <c r="C42" s="48"/>
      <c r="D42" s="31">
        <v>55</v>
      </c>
      <c r="E42" s="19">
        <v>0</v>
      </c>
      <c r="F42" s="56"/>
      <c r="G42" s="52"/>
      <c r="H42" s="36"/>
    </row>
    <row r="43" spans="1:8" x14ac:dyDescent="0.3">
      <c r="A43" s="48"/>
      <c r="B43" s="48"/>
      <c r="C43" s="48"/>
      <c r="D43" s="31">
        <v>56</v>
      </c>
      <c r="E43" s="19">
        <v>0</v>
      </c>
      <c r="F43" s="56"/>
      <c r="G43" s="52"/>
      <c r="H43" s="36"/>
    </row>
    <row r="44" spans="1:8" x14ac:dyDescent="0.3">
      <c r="A44" s="48"/>
      <c r="B44" s="48"/>
      <c r="C44" s="48"/>
      <c r="D44" s="31">
        <v>57</v>
      </c>
      <c r="E44" s="19">
        <v>0</v>
      </c>
      <c r="F44" s="56"/>
      <c r="G44" s="52"/>
      <c r="H44" s="36"/>
    </row>
    <row r="45" spans="1:8" x14ac:dyDescent="0.3">
      <c r="A45" s="48"/>
      <c r="B45" s="48"/>
      <c r="C45" s="48"/>
      <c r="D45" s="31">
        <v>75</v>
      </c>
      <c r="E45" s="19">
        <v>0</v>
      </c>
      <c r="F45" s="56"/>
      <c r="G45" s="52"/>
      <c r="H45" s="36"/>
    </row>
    <row r="46" spans="1:8" x14ac:dyDescent="0.3">
      <c r="A46" s="48"/>
      <c r="B46" s="48"/>
      <c r="C46" s="48"/>
      <c r="D46" s="31">
        <v>76</v>
      </c>
      <c r="E46" s="19">
        <v>0</v>
      </c>
      <c r="F46" s="56"/>
      <c r="G46" s="52"/>
      <c r="H46" s="36"/>
    </row>
    <row r="47" spans="1:8" x14ac:dyDescent="0.3">
      <c r="A47" s="48"/>
      <c r="B47" s="48"/>
      <c r="C47" s="48"/>
      <c r="D47" s="31">
        <v>77</v>
      </c>
      <c r="E47" s="19">
        <v>0</v>
      </c>
      <c r="F47" s="56"/>
      <c r="G47" s="52"/>
      <c r="H47" s="36"/>
    </row>
    <row r="48" spans="1:8" x14ac:dyDescent="0.3">
      <c r="A48" s="48"/>
      <c r="B48" s="48"/>
      <c r="C48" s="48"/>
      <c r="D48" s="31">
        <v>82</v>
      </c>
      <c r="E48" s="19">
        <v>0</v>
      </c>
      <c r="F48" s="56"/>
      <c r="G48" s="52"/>
      <c r="H48" s="36"/>
    </row>
    <row r="49" spans="1:8" x14ac:dyDescent="0.3">
      <c r="A49" s="48"/>
      <c r="B49" s="48"/>
      <c r="C49" s="48"/>
      <c r="D49" s="31">
        <v>84</v>
      </c>
      <c r="E49" s="19">
        <v>0</v>
      </c>
      <c r="F49" s="56"/>
      <c r="G49" s="52"/>
      <c r="H49" s="37"/>
    </row>
    <row r="50" spans="1:8" x14ac:dyDescent="0.3">
      <c r="A50" s="48" t="s">
        <v>43</v>
      </c>
      <c r="B50" s="48" t="s">
        <v>96</v>
      </c>
      <c r="C50" s="48">
        <v>310883625</v>
      </c>
      <c r="D50" s="30">
        <v>11</v>
      </c>
      <c r="E50" s="19">
        <v>0</v>
      </c>
      <c r="F50" s="56"/>
      <c r="G50" s="52"/>
      <c r="H50" s="35" t="s">
        <v>158</v>
      </c>
    </row>
    <row r="51" spans="1:8" x14ac:dyDescent="0.3">
      <c r="A51" s="48"/>
      <c r="B51" s="48"/>
      <c r="C51" s="48"/>
      <c r="D51" s="31">
        <v>37</v>
      </c>
      <c r="E51" s="19">
        <v>0</v>
      </c>
      <c r="F51" s="56"/>
      <c r="G51" s="52"/>
      <c r="H51" s="36"/>
    </row>
    <row r="52" spans="1:8" x14ac:dyDescent="0.3">
      <c r="A52" s="48"/>
      <c r="B52" s="48"/>
      <c r="C52" s="48"/>
      <c r="D52" s="31">
        <v>38</v>
      </c>
      <c r="E52" s="19">
        <v>0</v>
      </c>
      <c r="F52" s="56"/>
      <c r="G52" s="52"/>
      <c r="H52" s="36"/>
    </row>
    <row r="53" spans="1:8" x14ac:dyDescent="0.3">
      <c r="A53" s="48"/>
      <c r="B53" s="48"/>
      <c r="C53" s="48"/>
      <c r="D53" s="31">
        <v>64</v>
      </c>
      <c r="E53" s="19">
        <v>0</v>
      </c>
      <c r="F53" s="56"/>
      <c r="G53" s="52"/>
      <c r="H53" s="36"/>
    </row>
    <row r="54" spans="1:8" x14ac:dyDescent="0.3">
      <c r="A54" s="48"/>
      <c r="B54" s="48"/>
      <c r="C54" s="48"/>
      <c r="D54" s="31">
        <v>65</v>
      </c>
      <c r="E54" s="19">
        <v>0</v>
      </c>
      <c r="F54" s="56"/>
      <c r="G54" s="52"/>
      <c r="H54" s="37"/>
    </row>
    <row r="55" spans="1:8" x14ac:dyDescent="0.3">
      <c r="A55" s="46" t="s">
        <v>44</v>
      </c>
      <c r="B55" s="46" t="s">
        <v>98</v>
      </c>
      <c r="C55" s="46">
        <v>29129672</v>
      </c>
      <c r="D55" s="30">
        <v>8</v>
      </c>
      <c r="E55" s="19">
        <v>1777.7650000000001</v>
      </c>
      <c r="F55" s="56"/>
      <c r="G55" s="52"/>
      <c r="H55" s="38"/>
    </row>
    <row r="56" spans="1:8" x14ac:dyDescent="0.3">
      <c r="A56" s="46"/>
      <c r="B56" s="46"/>
      <c r="C56" s="46"/>
      <c r="D56" s="31">
        <v>9</v>
      </c>
      <c r="E56" s="19">
        <v>1791.058</v>
      </c>
      <c r="F56" s="56"/>
      <c r="G56" s="52"/>
      <c r="H56" s="40"/>
    </row>
    <row r="57" spans="1:8" x14ac:dyDescent="0.3">
      <c r="A57" s="28" t="s">
        <v>45</v>
      </c>
      <c r="B57" s="28" t="s">
        <v>99</v>
      </c>
      <c r="C57" s="28">
        <v>288095171</v>
      </c>
      <c r="D57" s="30">
        <v>11</v>
      </c>
      <c r="E57" s="19">
        <v>1.095</v>
      </c>
      <c r="F57" s="56"/>
      <c r="G57" s="52"/>
      <c r="H57" s="19"/>
    </row>
    <row r="58" spans="1:8" x14ac:dyDescent="0.3">
      <c r="A58" s="48" t="s">
        <v>46</v>
      </c>
      <c r="B58" s="48" t="s">
        <v>100</v>
      </c>
      <c r="C58" s="48">
        <v>228758232</v>
      </c>
      <c r="D58" s="31">
        <v>1</v>
      </c>
      <c r="E58" s="19"/>
      <c r="F58" s="56"/>
      <c r="G58" s="52"/>
      <c r="H58" s="38" t="s">
        <v>156</v>
      </c>
    </row>
    <row r="59" spans="1:8" x14ac:dyDescent="0.3">
      <c r="A59" s="48"/>
      <c r="B59" s="48"/>
      <c r="C59" s="48"/>
      <c r="D59" s="30">
        <v>10</v>
      </c>
      <c r="E59" s="19">
        <v>0</v>
      </c>
      <c r="F59" s="56"/>
      <c r="G59" s="52"/>
      <c r="H59" s="39"/>
    </row>
    <row r="60" spans="1:8" x14ac:dyDescent="0.3">
      <c r="A60" s="48"/>
      <c r="B60" s="48"/>
      <c r="C60" s="48"/>
      <c r="D60" s="31">
        <v>37</v>
      </c>
      <c r="E60" s="19"/>
      <c r="F60" s="56"/>
      <c r="G60" s="52"/>
      <c r="H60" s="39"/>
    </row>
    <row r="61" spans="1:8" x14ac:dyDescent="0.3">
      <c r="A61" s="48"/>
      <c r="B61" s="48"/>
      <c r="C61" s="48"/>
      <c r="D61" s="31">
        <v>64</v>
      </c>
      <c r="E61" s="19"/>
      <c r="F61" s="56"/>
      <c r="G61" s="52"/>
      <c r="H61" s="40"/>
    </row>
    <row r="62" spans="1:8" x14ac:dyDescent="0.3">
      <c r="A62" s="46" t="s">
        <v>47</v>
      </c>
      <c r="B62" s="49" t="s">
        <v>101</v>
      </c>
      <c r="C62" s="46">
        <v>13877074</v>
      </c>
      <c r="D62" s="30">
        <v>14</v>
      </c>
      <c r="E62" s="19">
        <v>12.295</v>
      </c>
      <c r="F62" s="56"/>
      <c r="G62" s="52"/>
      <c r="H62" s="38"/>
    </row>
    <row r="63" spans="1:8" x14ac:dyDescent="0.3">
      <c r="A63" s="46"/>
      <c r="B63" s="49"/>
      <c r="C63" s="46"/>
      <c r="D63" s="31">
        <v>15</v>
      </c>
      <c r="E63" s="19">
        <v>7.6189999999999998</v>
      </c>
      <c r="F63" s="56"/>
      <c r="G63" s="52"/>
      <c r="H63" s="39"/>
    </row>
    <row r="64" spans="1:8" x14ac:dyDescent="0.3">
      <c r="A64" s="46"/>
      <c r="B64" s="49"/>
      <c r="C64" s="46"/>
      <c r="D64" s="31">
        <v>41</v>
      </c>
      <c r="E64" s="19">
        <v>12.295</v>
      </c>
      <c r="F64" s="56"/>
      <c r="G64" s="52"/>
      <c r="H64" s="39"/>
    </row>
    <row r="65" spans="1:8" x14ac:dyDescent="0.3">
      <c r="A65" s="46"/>
      <c r="B65" s="49"/>
      <c r="C65" s="46"/>
      <c r="D65" s="31">
        <v>75</v>
      </c>
      <c r="E65" s="19">
        <v>7.6189999999999998</v>
      </c>
      <c r="F65" s="56"/>
      <c r="G65" s="52"/>
      <c r="H65" s="39"/>
    </row>
    <row r="66" spans="1:8" x14ac:dyDescent="0.3">
      <c r="A66" s="46"/>
      <c r="B66" s="49"/>
      <c r="C66" s="46"/>
      <c r="D66" s="31">
        <v>81</v>
      </c>
      <c r="E66" s="19">
        <v>12.295</v>
      </c>
      <c r="F66" s="56"/>
      <c r="G66" s="52"/>
      <c r="H66" s="39"/>
    </row>
    <row r="67" spans="1:8" x14ac:dyDescent="0.3">
      <c r="A67" s="46"/>
      <c r="B67" s="49"/>
      <c r="C67" s="46"/>
      <c r="D67" s="31">
        <v>82</v>
      </c>
      <c r="E67" s="19">
        <v>12.295</v>
      </c>
      <c r="F67" s="56"/>
      <c r="G67" s="52"/>
      <c r="H67" s="40"/>
    </row>
    <row r="68" spans="1:8" x14ac:dyDescent="0.3">
      <c r="A68" s="48" t="s">
        <v>48</v>
      </c>
      <c r="B68" s="48" t="s">
        <v>102</v>
      </c>
      <c r="C68" s="48">
        <v>126441970</v>
      </c>
      <c r="D68" s="30">
        <v>7</v>
      </c>
      <c r="E68" s="19">
        <v>0</v>
      </c>
      <c r="F68" s="56"/>
      <c r="G68" s="52"/>
      <c r="H68" s="41" t="s">
        <v>159</v>
      </c>
    </row>
    <row r="69" spans="1:8" x14ac:dyDescent="0.3">
      <c r="A69" s="48"/>
      <c r="B69" s="48"/>
      <c r="C69" s="48"/>
      <c r="D69" s="31">
        <v>34</v>
      </c>
      <c r="E69" s="19"/>
      <c r="F69" s="56"/>
      <c r="G69" s="52"/>
      <c r="H69" s="42"/>
    </row>
    <row r="70" spans="1:8" x14ac:dyDescent="0.3">
      <c r="A70" s="48"/>
      <c r="B70" s="48"/>
      <c r="C70" s="48"/>
      <c r="D70" s="31">
        <v>61</v>
      </c>
      <c r="E70" s="19">
        <v>0</v>
      </c>
      <c r="F70" s="56"/>
      <c r="G70" s="52"/>
      <c r="H70" s="42"/>
    </row>
    <row r="71" spans="1:8" x14ac:dyDescent="0.3">
      <c r="A71" s="48"/>
      <c r="B71" s="48"/>
      <c r="C71" s="48"/>
      <c r="D71" s="31">
        <v>88</v>
      </c>
      <c r="E71" s="19"/>
      <c r="F71" s="56"/>
      <c r="G71" s="52"/>
      <c r="H71" s="43"/>
    </row>
    <row r="72" spans="1:8" x14ac:dyDescent="0.3">
      <c r="A72" s="47" t="s">
        <v>49</v>
      </c>
      <c r="B72" s="47" t="s">
        <v>104</v>
      </c>
      <c r="C72" s="47">
        <v>106111735</v>
      </c>
      <c r="D72" s="30">
        <v>14</v>
      </c>
      <c r="E72" s="19">
        <v>0.53300000000000003</v>
      </c>
      <c r="F72" s="56"/>
      <c r="G72" s="52"/>
      <c r="H72" s="38"/>
    </row>
    <row r="73" spans="1:8" x14ac:dyDescent="0.3">
      <c r="A73" s="47"/>
      <c r="B73" s="47"/>
      <c r="C73" s="47"/>
      <c r="D73" s="31">
        <v>54</v>
      </c>
      <c r="E73" s="19">
        <v>0.53300000000000003</v>
      </c>
      <c r="F73" s="56"/>
      <c r="G73" s="52"/>
      <c r="H73" s="39"/>
    </row>
    <row r="74" spans="1:8" x14ac:dyDescent="0.3">
      <c r="A74" s="47"/>
      <c r="B74" s="47"/>
      <c r="C74" s="47"/>
      <c r="D74" s="31">
        <v>55</v>
      </c>
      <c r="E74" s="19">
        <v>0.53300000000000003</v>
      </c>
      <c r="F74" s="56"/>
      <c r="G74" s="52"/>
      <c r="H74" s="39"/>
    </row>
    <row r="75" spans="1:8" x14ac:dyDescent="0.3">
      <c r="A75" s="47"/>
      <c r="B75" s="47"/>
      <c r="C75" s="47"/>
      <c r="D75" s="31">
        <v>74</v>
      </c>
      <c r="E75" s="19">
        <v>0.53300000000000003</v>
      </c>
      <c r="F75" s="56"/>
      <c r="G75" s="52"/>
      <c r="H75" s="39"/>
    </row>
    <row r="76" spans="1:8" x14ac:dyDescent="0.3">
      <c r="A76" s="47"/>
      <c r="B76" s="47"/>
      <c r="C76" s="47"/>
      <c r="D76" s="31">
        <v>75</v>
      </c>
      <c r="E76" s="19">
        <v>0.53300000000000003</v>
      </c>
      <c r="F76" s="56"/>
      <c r="G76" s="52"/>
      <c r="H76" s="39"/>
    </row>
    <row r="77" spans="1:8" x14ac:dyDescent="0.3">
      <c r="A77" s="47"/>
      <c r="B77" s="47"/>
      <c r="C77" s="47"/>
      <c r="D77" s="31">
        <v>81</v>
      </c>
      <c r="E77" s="19">
        <v>0.53300000000000003</v>
      </c>
      <c r="F77" s="56"/>
      <c r="G77" s="52"/>
      <c r="H77" s="39"/>
    </row>
    <row r="78" spans="1:8" x14ac:dyDescent="0.3">
      <c r="A78" s="47"/>
      <c r="B78" s="47"/>
      <c r="C78" s="47"/>
      <c r="D78" s="31">
        <v>82</v>
      </c>
      <c r="E78" s="19">
        <v>0.53300000000000003</v>
      </c>
      <c r="F78" s="56"/>
      <c r="G78" s="52"/>
      <c r="H78" s="40"/>
    </row>
    <row r="79" spans="1:8" x14ac:dyDescent="0.3">
      <c r="A79" s="48" t="s">
        <v>68</v>
      </c>
      <c r="B79" s="48" t="s">
        <v>106</v>
      </c>
      <c r="C79" s="48">
        <v>72696935</v>
      </c>
      <c r="D79" s="30">
        <v>19</v>
      </c>
      <c r="E79" s="19">
        <v>0</v>
      </c>
      <c r="F79" s="56"/>
      <c r="G79" s="52"/>
      <c r="H79" s="32" t="s">
        <v>158</v>
      </c>
    </row>
    <row r="80" spans="1:8" x14ac:dyDescent="0.3">
      <c r="A80" s="48"/>
      <c r="B80" s="48"/>
      <c r="C80" s="48"/>
      <c r="D80" s="31">
        <v>59</v>
      </c>
      <c r="E80" s="19">
        <v>0.85699999999999998</v>
      </c>
      <c r="F80" s="56"/>
      <c r="G80" s="52"/>
      <c r="H80" s="33"/>
    </row>
    <row r="81" spans="1:8" x14ac:dyDescent="0.3">
      <c r="A81" s="48"/>
      <c r="B81" s="48"/>
      <c r="C81" s="48"/>
      <c r="D81" s="31">
        <v>86</v>
      </c>
      <c r="E81" s="19">
        <v>0</v>
      </c>
      <c r="F81" s="56"/>
      <c r="G81" s="52"/>
      <c r="H81" s="34"/>
    </row>
    <row r="82" spans="1:8" x14ac:dyDescent="0.3">
      <c r="A82" s="48" t="s">
        <v>64</v>
      </c>
      <c r="B82" s="48" t="s">
        <v>109</v>
      </c>
      <c r="C82" s="48">
        <v>337886863</v>
      </c>
      <c r="D82" s="31">
        <v>14</v>
      </c>
      <c r="E82" s="20" t="s">
        <v>155</v>
      </c>
      <c r="F82" s="57"/>
      <c r="G82" s="51"/>
      <c r="H82" s="35" t="s">
        <v>158</v>
      </c>
    </row>
    <row r="83" spans="1:8" x14ac:dyDescent="0.3">
      <c r="A83" s="48"/>
      <c r="B83" s="48"/>
      <c r="C83" s="48"/>
      <c r="D83" s="31">
        <v>16</v>
      </c>
      <c r="E83" s="19">
        <v>0</v>
      </c>
      <c r="F83" s="56"/>
      <c r="G83" s="52"/>
      <c r="H83" s="36"/>
    </row>
    <row r="84" spans="1:8" x14ac:dyDescent="0.3">
      <c r="A84" s="48"/>
      <c r="B84" s="48"/>
      <c r="C84" s="48"/>
      <c r="D84" s="31">
        <v>17</v>
      </c>
      <c r="E84" s="19">
        <v>0</v>
      </c>
      <c r="F84" s="56"/>
      <c r="G84" s="52"/>
      <c r="H84" s="36"/>
    </row>
    <row r="85" spans="1:8" x14ac:dyDescent="0.3">
      <c r="A85" s="48"/>
      <c r="B85" s="48"/>
      <c r="C85" s="48"/>
      <c r="D85" s="31">
        <v>18</v>
      </c>
      <c r="E85" s="19">
        <v>0</v>
      </c>
      <c r="F85" s="56"/>
      <c r="G85" s="52"/>
      <c r="H85" s="36"/>
    </row>
    <row r="86" spans="1:8" x14ac:dyDescent="0.3">
      <c r="A86" s="48"/>
      <c r="B86" s="48"/>
      <c r="C86" s="48"/>
      <c r="D86" s="30">
        <v>24</v>
      </c>
      <c r="E86" s="19">
        <v>0</v>
      </c>
      <c r="F86" s="56"/>
      <c r="G86" s="52"/>
      <c r="H86" s="36"/>
    </row>
    <row r="87" spans="1:8" x14ac:dyDescent="0.3">
      <c r="A87" s="48"/>
      <c r="B87" s="48"/>
      <c r="C87" s="48"/>
      <c r="D87" s="31">
        <v>57</v>
      </c>
      <c r="E87" s="19">
        <v>0</v>
      </c>
      <c r="F87" s="56"/>
      <c r="G87" s="52"/>
      <c r="H87" s="36"/>
    </row>
    <row r="88" spans="1:8" x14ac:dyDescent="0.3">
      <c r="A88" s="48"/>
      <c r="B88" s="48"/>
      <c r="C88" s="48"/>
      <c r="D88" s="31">
        <v>58</v>
      </c>
      <c r="E88" s="19">
        <v>0</v>
      </c>
      <c r="F88" s="56"/>
      <c r="G88" s="52"/>
      <c r="H88" s="36"/>
    </row>
    <row r="89" spans="1:8" x14ac:dyDescent="0.3">
      <c r="A89" s="48"/>
      <c r="B89" s="48"/>
      <c r="C89" s="48"/>
      <c r="D89" s="31">
        <v>77</v>
      </c>
      <c r="E89" s="19">
        <v>0</v>
      </c>
      <c r="F89" s="56"/>
      <c r="G89" s="52"/>
      <c r="H89" s="36"/>
    </row>
    <row r="90" spans="1:8" x14ac:dyDescent="0.3">
      <c r="A90" s="48"/>
      <c r="B90" s="48"/>
      <c r="C90" s="48"/>
      <c r="D90" s="31">
        <v>78</v>
      </c>
      <c r="E90" s="19">
        <v>0</v>
      </c>
      <c r="F90" s="56"/>
      <c r="G90" s="52"/>
      <c r="H90" s="36"/>
    </row>
    <row r="91" spans="1:8" x14ac:dyDescent="0.3">
      <c r="A91" s="48"/>
      <c r="B91" s="48"/>
      <c r="C91" s="48"/>
      <c r="D91" s="31">
        <v>84</v>
      </c>
      <c r="E91" s="19">
        <v>0</v>
      </c>
      <c r="F91" s="56"/>
      <c r="G91" s="52"/>
      <c r="H91" s="36"/>
    </row>
    <row r="92" spans="1:8" x14ac:dyDescent="0.3">
      <c r="A92" s="48"/>
      <c r="B92" s="48"/>
      <c r="C92" s="48"/>
      <c r="D92" s="31">
        <v>85</v>
      </c>
      <c r="E92" s="19">
        <v>0</v>
      </c>
      <c r="F92" s="56"/>
      <c r="G92" s="52"/>
      <c r="H92" s="37"/>
    </row>
    <row r="93" spans="1:8" x14ac:dyDescent="0.3">
      <c r="A93" s="48" t="s">
        <v>65</v>
      </c>
      <c r="B93" s="48" t="s">
        <v>111</v>
      </c>
      <c r="C93" s="48">
        <v>275420565</v>
      </c>
      <c r="D93" s="30">
        <v>16</v>
      </c>
      <c r="E93" s="19">
        <v>0</v>
      </c>
      <c r="F93" s="56"/>
      <c r="G93" s="52"/>
      <c r="H93" s="32" t="s">
        <v>158</v>
      </c>
    </row>
    <row r="94" spans="1:8" x14ac:dyDescent="0.3">
      <c r="A94" s="48"/>
      <c r="B94" s="48"/>
      <c r="C94" s="48"/>
      <c r="D94" s="31">
        <v>17</v>
      </c>
      <c r="E94" s="19">
        <v>0.71899999999999997</v>
      </c>
      <c r="F94" s="56"/>
      <c r="G94" s="52"/>
      <c r="H94" s="33"/>
    </row>
    <row r="95" spans="1:8" x14ac:dyDescent="0.3">
      <c r="A95" s="48"/>
      <c r="B95" s="48"/>
      <c r="C95" s="48"/>
      <c r="D95" s="31">
        <v>18</v>
      </c>
      <c r="E95" s="19">
        <v>0</v>
      </c>
      <c r="F95" s="56"/>
      <c r="G95" s="52"/>
      <c r="H95" s="33"/>
    </row>
    <row r="96" spans="1:8" x14ac:dyDescent="0.3">
      <c r="A96" s="48"/>
      <c r="B96" s="48"/>
      <c r="C96" s="48"/>
      <c r="D96" s="31">
        <v>24</v>
      </c>
      <c r="E96" s="19">
        <v>0</v>
      </c>
      <c r="F96" s="56"/>
      <c r="G96" s="52"/>
      <c r="H96" s="33"/>
    </row>
    <row r="97" spans="1:8" x14ac:dyDescent="0.3">
      <c r="A97" s="48"/>
      <c r="B97" s="48"/>
      <c r="C97" s="48"/>
      <c r="D97" s="31">
        <v>56</v>
      </c>
      <c r="E97" s="19">
        <v>0</v>
      </c>
      <c r="F97" s="56"/>
      <c r="G97" s="52"/>
      <c r="H97" s="33"/>
    </row>
    <row r="98" spans="1:8" x14ac:dyDescent="0.3">
      <c r="A98" s="48"/>
      <c r="B98" s="48"/>
      <c r="C98" s="48"/>
      <c r="D98" s="31">
        <v>58</v>
      </c>
      <c r="E98" s="19">
        <v>0</v>
      </c>
      <c r="F98" s="56"/>
      <c r="G98" s="52"/>
      <c r="H98" s="33"/>
    </row>
    <row r="99" spans="1:8" x14ac:dyDescent="0.3">
      <c r="A99" s="48"/>
      <c r="B99" s="48"/>
      <c r="C99" s="48"/>
      <c r="D99" s="31">
        <v>76</v>
      </c>
      <c r="E99" s="19">
        <v>0</v>
      </c>
      <c r="F99" s="56"/>
      <c r="G99" s="52"/>
      <c r="H99" s="33"/>
    </row>
    <row r="100" spans="1:8" x14ac:dyDescent="0.3">
      <c r="A100" s="48"/>
      <c r="B100" s="48"/>
      <c r="C100" s="48"/>
      <c r="D100" s="31">
        <v>77</v>
      </c>
      <c r="E100" s="19">
        <v>0</v>
      </c>
      <c r="F100" s="56"/>
      <c r="G100" s="52"/>
      <c r="H100" s="33"/>
    </row>
    <row r="101" spans="1:8" x14ac:dyDescent="0.3">
      <c r="A101" s="48"/>
      <c r="B101" s="48"/>
      <c r="C101" s="48"/>
      <c r="D101" s="31">
        <v>78</v>
      </c>
      <c r="E101" s="19">
        <v>0</v>
      </c>
      <c r="F101" s="56"/>
      <c r="G101" s="52"/>
      <c r="H101" s="33"/>
    </row>
    <row r="102" spans="1:8" x14ac:dyDescent="0.3">
      <c r="A102" s="48"/>
      <c r="B102" s="48"/>
      <c r="C102" s="48"/>
      <c r="D102" s="31">
        <v>83</v>
      </c>
      <c r="E102" s="19">
        <v>0</v>
      </c>
      <c r="F102" s="56"/>
      <c r="G102" s="52"/>
      <c r="H102" s="33"/>
    </row>
    <row r="103" spans="1:8" x14ac:dyDescent="0.3">
      <c r="A103" s="48"/>
      <c r="B103" s="48"/>
      <c r="C103" s="48"/>
      <c r="D103" s="31">
        <v>85</v>
      </c>
      <c r="E103" s="19">
        <v>0</v>
      </c>
      <c r="F103" s="56"/>
      <c r="G103" s="52"/>
      <c r="H103" s="34"/>
    </row>
    <row r="104" spans="1:8" x14ac:dyDescent="0.3">
      <c r="A104" s="46" t="s">
        <v>66</v>
      </c>
      <c r="B104" s="46" t="s">
        <v>112</v>
      </c>
      <c r="C104" s="46">
        <v>180730928</v>
      </c>
      <c r="D104" s="31">
        <v>1</v>
      </c>
      <c r="E104" s="20" t="s">
        <v>155</v>
      </c>
      <c r="F104" s="57"/>
      <c r="G104" s="51"/>
      <c r="H104" s="38"/>
    </row>
    <row r="105" spans="1:8" x14ac:dyDescent="0.3">
      <c r="A105" s="46"/>
      <c r="B105" s="46"/>
      <c r="C105" s="46"/>
      <c r="D105" s="30">
        <v>8</v>
      </c>
      <c r="E105" s="19">
        <v>7078.9560000000001</v>
      </c>
      <c r="F105" s="56"/>
      <c r="G105" s="52"/>
      <c r="H105" s="39"/>
    </row>
    <row r="106" spans="1:8" x14ac:dyDescent="0.3">
      <c r="A106" s="46"/>
      <c r="B106" s="46"/>
      <c r="C106" s="46"/>
      <c r="D106" s="31">
        <v>61</v>
      </c>
      <c r="E106" s="19">
        <v>7078.9560000000001</v>
      </c>
      <c r="F106" s="56"/>
      <c r="G106" s="52"/>
      <c r="H106" s="39"/>
    </row>
    <row r="107" spans="1:8" x14ac:dyDescent="0.3">
      <c r="A107" s="46"/>
      <c r="B107" s="46"/>
      <c r="C107" s="46"/>
      <c r="D107" s="31">
        <v>62</v>
      </c>
      <c r="E107" s="19">
        <v>7078.9560000000001</v>
      </c>
      <c r="F107" s="56"/>
      <c r="G107" s="52"/>
      <c r="H107" s="40"/>
    </row>
    <row r="108" spans="1:8" x14ac:dyDescent="0.3">
      <c r="A108" s="48" t="s">
        <v>67</v>
      </c>
      <c r="B108" s="48" t="s">
        <v>113</v>
      </c>
      <c r="C108" s="48">
        <v>143681075</v>
      </c>
      <c r="D108" s="30">
        <v>19</v>
      </c>
      <c r="E108" s="19">
        <v>0</v>
      </c>
      <c r="F108" s="56"/>
      <c r="G108" s="52"/>
      <c r="H108" s="35" t="s">
        <v>158</v>
      </c>
    </row>
    <row r="109" spans="1:8" x14ac:dyDescent="0.3">
      <c r="A109" s="48"/>
      <c r="B109" s="48"/>
      <c r="C109" s="48"/>
      <c r="D109" s="31">
        <v>59</v>
      </c>
      <c r="E109" s="19">
        <v>0</v>
      </c>
      <c r="F109" s="56"/>
      <c r="G109" s="52"/>
      <c r="H109" s="36"/>
    </row>
    <row r="110" spans="1:8" x14ac:dyDescent="0.3">
      <c r="A110" s="48"/>
      <c r="B110" s="48"/>
      <c r="C110" s="48"/>
      <c r="D110" s="31">
        <v>73</v>
      </c>
      <c r="E110" s="19">
        <v>0</v>
      </c>
      <c r="F110" s="56"/>
      <c r="G110" s="52"/>
      <c r="H110" s="36"/>
    </row>
    <row r="111" spans="1:8" x14ac:dyDescent="0.3">
      <c r="A111" s="48"/>
      <c r="B111" s="48"/>
      <c r="C111" s="48"/>
      <c r="D111" s="31">
        <v>86</v>
      </c>
      <c r="E111" s="19">
        <v>0</v>
      </c>
      <c r="F111" s="56"/>
      <c r="G111" s="52"/>
      <c r="H111" s="37"/>
    </row>
  </sheetData>
  <mergeCells count="80">
    <mergeCell ref="A104:A107"/>
    <mergeCell ref="B104:B107"/>
    <mergeCell ref="C104:C107"/>
    <mergeCell ref="C108:C111"/>
    <mergeCell ref="B108:B111"/>
    <mergeCell ref="A108:A111"/>
    <mergeCell ref="C82:C92"/>
    <mergeCell ref="B82:B92"/>
    <mergeCell ref="A82:A92"/>
    <mergeCell ref="C93:C103"/>
    <mergeCell ref="B93:B103"/>
    <mergeCell ref="A93:A103"/>
    <mergeCell ref="C72:C78"/>
    <mergeCell ref="B72:B78"/>
    <mergeCell ref="A72:A78"/>
    <mergeCell ref="A79:A81"/>
    <mergeCell ref="B79:B81"/>
    <mergeCell ref="C79:C81"/>
    <mergeCell ref="C62:C67"/>
    <mergeCell ref="B62:B67"/>
    <mergeCell ref="A62:A67"/>
    <mergeCell ref="C68:C71"/>
    <mergeCell ref="B68:B71"/>
    <mergeCell ref="A68:A71"/>
    <mergeCell ref="A55:A56"/>
    <mergeCell ref="B55:B56"/>
    <mergeCell ref="C55:C56"/>
    <mergeCell ref="A58:A61"/>
    <mergeCell ref="B58:B61"/>
    <mergeCell ref="C58:C61"/>
    <mergeCell ref="A38:A49"/>
    <mergeCell ref="B38:B49"/>
    <mergeCell ref="C38:C49"/>
    <mergeCell ref="A50:A54"/>
    <mergeCell ref="B50:B54"/>
    <mergeCell ref="C50:C54"/>
    <mergeCell ref="A30:A34"/>
    <mergeCell ref="B30:B34"/>
    <mergeCell ref="C30:C34"/>
    <mergeCell ref="A35:A37"/>
    <mergeCell ref="B35:B37"/>
    <mergeCell ref="C35:C37"/>
    <mergeCell ref="A24:A26"/>
    <mergeCell ref="B24:B26"/>
    <mergeCell ref="C24:C26"/>
    <mergeCell ref="C27:C29"/>
    <mergeCell ref="B27:B29"/>
    <mergeCell ref="A27:A29"/>
    <mergeCell ref="A10:A19"/>
    <mergeCell ref="B10:B19"/>
    <mergeCell ref="C10:C19"/>
    <mergeCell ref="A20:A23"/>
    <mergeCell ref="B20:B23"/>
    <mergeCell ref="C20:C23"/>
    <mergeCell ref="A2:A4"/>
    <mergeCell ref="B2:B4"/>
    <mergeCell ref="C2:C4"/>
    <mergeCell ref="A6:A9"/>
    <mergeCell ref="B6:B9"/>
    <mergeCell ref="C6:C9"/>
    <mergeCell ref="H10:H19"/>
    <mergeCell ref="H6:H9"/>
    <mergeCell ref="H2:H4"/>
    <mergeCell ref="H20:H23"/>
    <mergeCell ref="H24:H26"/>
    <mergeCell ref="H27:H29"/>
    <mergeCell ref="H30:H34"/>
    <mergeCell ref="H35:H37"/>
    <mergeCell ref="H38:H49"/>
    <mergeCell ref="H50:H54"/>
    <mergeCell ref="H55:H56"/>
    <mergeCell ref="H58:H61"/>
    <mergeCell ref="H62:H67"/>
    <mergeCell ref="H68:H71"/>
    <mergeCell ref="H72:H78"/>
    <mergeCell ref="H79:H81"/>
    <mergeCell ref="H82:H92"/>
    <mergeCell ref="H93:H103"/>
    <mergeCell ref="H104:H107"/>
    <mergeCell ref="H108:H11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225743-A402-4A5B-8885-503171F5619A}">
  <dimension ref="A1:F141"/>
  <sheetViews>
    <sheetView tabSelected="1" topLeftCell="B1" workbookViewId="0">
      <selection activeCell="H21" sqref="H21"/>
    </sheetView>
  </sheetViews>
  <sheetFormatPr baseColWidth="10" defaultRowHeight="14.4" x14ac:dyDescent="0.3"/>
  <cols>
    <col min="6" max="6" width="11.5546875" customWidth="1"/>
  </cols>
  <sheetData>
    <row r="1" spans="1:6" ht="15" thickBot="1" x14ac:dyDescent="0.35">
      <c r="A1" s="24" t="s">
        <v>0</v>
      </c>
      <c r="B1" s="25" t="s">
        <v>7</v>
      </c>
      <c r="C1" s="26" t="s">
        <v>8</v>
      </c>
      <c r="D1" s="27" t="s">
        <v>153</v>
      </c>
      <c r="E1" s="25" t="s">
        <v>162</v>
      </c>
      <c r="F1" s="25" t="s">
        <v>161</v>
      </c>
    </row>
    <row r="2" spans="1:6" x14ac:dyDescent="0.3">
      <c r="A2" s="45" t="s">
        <v>11</v>
      </c>
      <c r="B2" s="45" t="s">
        <v>76</v>
      </c>
      <c r="C2" s="45">
        <v>75311623</v>
      </c>
      <c r="D2" s="18">
        <v>1</v>
      </c>
      <c r="E2" s="68" t="s">
        <v>155</v>
      </c>
      <c r="F2" s="59">
        <v>5.2398300000000004</v>
      </c>
    </row>
    <row r="3" spans="1:6" x14ac:dyDescent="0.3">
      <c r="A3" s="46"/>
      <c r="B3" s="46"/>
      <c r="C3" s="46"/>
      <c r="D3" s="19">
        <v>8</v>
      </c>
      <c r="E3" s="52">
        <v>4.8378704952425302</v>
      </c>
      <c r="F3" s="60"/>
    </row>
    <row r="4" spans="1:6" x14ac:dyDescent="0.3">
      <c r="A4" s="46"/>
      <c r="B4" s="46"/>
      <c r="C4" s="46"/>
      <c r="D4" s="22">
        <v>9</v>
      </c>
      <c r="E4" s="50">
        <v>4.8727570024205704</v>
      </c>
      <c r="F4" s="60"/>
    </row>
    <row r="5" spans="1:6" x14ac:dyDescent="0.3">
      <c r="A5" s="46"/>
      <c r="B5" s="46"/>
      <c r="C5" s="46"/>
      <c r="D5" s="69" t="s">
        <v>163</v>
      </c>
      <c r="E5" s="56">
        <v>5.0664257843651503</v>
      </c>
      <c r="F5" s="61"/>
    </row>
    <row r="6" spans="1:6" x14ac:dyDescent="0.3">
      <c r="A6" s="29" t="s">
        <v>12</v>
      </c>
      <c r="B6" s="29" t="s">
        <v>79</v>
      </c>
      <c r="C6" s="29">
        <v>49720925</v>
      </c>
      <c r="D6" s="30">
        <v>18</v>
      </c>
      <c r="E6" s="56">
        <v>1.4693681092036801</v>
      </c>
      <c r="F6" s="66">
        <v>1.4510099999999999</v>
      </c>
    </row>
    <row r="7" spans="1:6" x14ac:dyDescent="0.3">
      <c r="A7" s="47" t="s">
        <v>13</v>
      </c>
      <c r="B7" s="47" t="s">
        <v>82</v>
      </c>
      <c r="C7" s="47">
        <v>435781776</v>
      </c>
      <c r="D7" s="30">
        <v>14</v>
      </c>
      <c r="E7" s="56">
        <v>0.67124809679754605</v>
      </c>
      <c r="F7" s="62">
        <v>0.67753300000000005</v>
      </c>
    </row>
    <row r="8" spans="1:6" x14ac:dyDescent="0.3">
      <c r="A8" s="47"/>
      <c r="B8" s="47"/>
      <c r="C8" s="47"/>
      <c r="D8" s="31">
        <v>41</v>
      </c>
      <c r="E8" s="56">
        <v>0.68175980018525995</v>
      </c>
      <c r="F8" s="60"/>
    </row>
    <row r="9" spans="1:6" x14ac:dyDescent="0.3">
      <c r="A9" s="47"/>
      <c r="B9" s="47"/>
      <c r="C9" s="47"/>
      <c r="D9" s="31">
        <v>54</v>
      </c>
      <c r="E9" s="56">
        <v>0.67254816493406</v>
      </c>
      <c r="F9" s="60"/>
    </row>
    <row r="10" spans="1:6" x14ac:dyDescent="0.3">
      <c r="A10" s="47"/>
      <c r="B10" s="47"/>
      <c r="C10" s="47"/>
      <c r="D10" s="31">
        <v>81</v>
      </c>
      <c r="E10" s="56">
        <v>0.68265733283112395</v>
      </c>
      <c r="F10" s="60"/>
    </row>
    <row r="11" spans="1:6" x14ac:dyDescent="0.3">
      <c r="A11" s="47"/>
      <c r="B11" s="47"/>
      <c r="C11" s="47"/>
      <c r="D11" s="69" t="s">
        <v>163</v>
      </c>
      <c r="E11" s="56">
        <v>0.67659925236799101</v>
      </c>
      <c r="F11" s="61"/>
    </row>
    <row r="12" spans="1:6" x14ac:dyDescent="0.3">
      <c r="A12" s="48" t="s">
        <v>14</v>
      </c>
      <c r="B12" s="48" t="s">
        <v>84</v>
      </c>
      <c r="C12" s="48">
        <v>434408053</v>
      </c>
      <c r="D12" s="31">
        <v>1</v>
      </c>
      <c r="E12" s="68" t="s">
        <v>155</v>
      </c>
      <c r="F12" s="62">
        <v>7.3338000000000001</v>
      </c>
    </row>
    <row r="13" spans="1:6" x14ac:dyDescent="0.3">
      <c r="A13" s="48"/>
      <c r="B13" s="48"/>
      <c r="C13" s="48"/>
      <c r="D13" s="31">
        <v>2</v>
      </c>
      <c r="E13" s="68" t="s">
        <v>155</v>
      </c>
      <c r="F13" s="60"/>
    </row>
    <row r="14" spans="1:6" x14ac:dyDescent="0.3">
      <c r="A14" s="48"/>
      <c r="B14" s="48"/>
      <c r="C14" s="48"/>
      <c r="D14" s="30">
        <v>6</v>
      </c>
      <c r="E14" s="56">
        <v>7.2573903349586999</v>
      </c>
      <c r="F14" s="60"/>
    </row>
    <row r="15" spans="1:6" x14ac:dyDescent="0.3">
      <c r="A15" s="48"/>
      <c r="B15" s="48"/>
      <c r="C15" s="48"/>
      <c r="D15" s="31">
        <v>33</v>
      </c>
      <c r="E15" s="56">
        <v>6.4596552346367799</v>
      </c>
      <c r="F15" s="60"/>
    </row>
    <row r="16" spans="1:6" x14ac:dyDescent="0.3">
      <c r="A16" s="48"/>
      <c r="B16" s="48"/>
      <c r="C16" s="48"/>
      <c r="D16" s="31">
        <v>43</v>
      </c>
      <c r="E16" s="56">
        <v>8.0956872768653394</v>
      </c>
      <c r="F16" s="60"/>
    </row>
    <row r="17" spans="1:6" x14ac:dyDescent="0.3">
      <c r="A17" s="48"/>
      <c r="B17" s="48"/>
      <c r="C17" s="48"/>
      <c r="D17" s="31">
        <v>44</v>
      </c>
      <c r="E17" s="56">
        <v>8.0520759460678093</v>
      </c>
      <c r="F17" s="60"/>
    </row>
    <row r="18" spans="1:6" x14ac:dyDescent="0.3">
      <c r="A18" s="48"/>
      <c r="B18" s="48"/>
      <c r="C18" s="48"/>
      <c r="D18" s="31">
        <v>45</v>
      </c>
      <c r="E18" s="56">
        <v>8.1837988587493093</v>
      </c>
      <c r="F18" s="60"/>
    </row>
    <row r="19" spans="1:6" x14ac:dyDescent="0.3">
      <c r="A19" s="48"/>
      <c r="B19" s="48"/>
      <c r="C19" s="48"/>
      <c r="D19" s="31">
        <v>71</v>
      </c>
      <c r="E19" s="56">
        <v>8.1071427208107707</v>
      </c>
      <c r="F19" s="60"/>
    </row>
    <row r="20" spans="1:6" x14ac:dyDescent="0.3">
      <c r="A20" s="48"/>
      <c r="B20" s="48"/>
      <c r="C20" s="48"/>
      <c r="D20" s="31">
        <v>72</v>
      </c>
      <c r="E20" s="56">
        <v>7.9142851697268499</v>
      </c>
      <c r="F20" s="60"/>
    </row>
    <row r="21" spans="1:6" x14ac:dyDescent="0.3">
      <c r="A21" s="48"/>
      <c r="B21" s="48"/>
      <c r="C21" s="48"/>
      <c r="D21" s="31">
        <v>87</v>
      </c>
      <c r="E21" s="56">
        <v>4.7820233275211601</v>
      </c>
      <c r="F21" s="60"/>
    </row>
    <row r="22" spans="1:6" x14ac:dyDescent="0.3">
      <c r="A22" s="48"/>
      <c r="B22" s="48"/>
      <c r="C22" s="48"/>
      <c r="D22" s="69" t="s">
        <v>163</v>
      </c>
      <c r="E22" s="56">
        <v>7.4269915443075902</v>
      </c>
      <c r="F22" s="61"/>
    </row>
    <row r="23" spans="1:6" x14ac:dyDescent="0.3">
      <c r="A23" s="58" t="s">
        <v>15</v>
      </c>
      <c r="B23" s="58" t="s">
        <v>85</v>
      </c>
      <c r="C23" s="58">
        <v>329074395</v>
      </c>
      <c r="D23" s="30">
        <v>15</v>
      </c>
      <c r="E23" s="56"/>
      <c r="F23" s="62">
        <v>3.7668200000000001</v>
      </c>
    </row>
    <row r="24" spans="1:6" x14ac:dyDescent="0.3">
      <c r="A24" s="58"/>
      <c r="B24" s="58"/>
      <c r="C24" s="58"/>
      <c r="D24" s="31">
        <v>16</v>
      </c>
      <c r="E24" s="56"/>
      <c r="F24" s="60"/>
    </row>
    <row r="25" spans="1:6" x14ac:dyDescent="0.3">
      <c r="A25" s="58"/>
      <c r="B25" s="58"/>
      <c r="C25" s="58"/>
      <c r="D25" s="31">
        <v>17</v>
      </c>
      <c r="E25" s="56"/>
      <c r="F25" s="60"/>
    </row>
    <row r="26" spans="1:6" x14ac:dyDescent="0.3">
      <c r="A26" s="58"/>
      <c r="B26" s="58"/>
      <c r="C26" s="58"/>
      <c r="D26" s="31">
        <v>84</v>
      </c>
      <c r="E26" s="56"/>
      <c r="F26" s="61"/>
    </row>
    <row r="27" spans="1:6" x14ac:dyDescent="0.3">
      <c r="A27" s="48" t="s">
        <v>16</v>
      </c>
      <c r="B27" s="48" t="s">
        <v>86</v>
      </c>
      <c r="C27" s="48">
        <v>316493106</v>
      </c>
      <c r="D27" s="30">
        <v>24</v>
      </c>
      <c r="E27" s="56"/>
      <c r="F27" s="62">
        <v>4.6325000000000003</v>
      </c>
    </row>
    <row r="28" spans="1:6" x14ac:dyDescent="0.3">
      <c r="A28" s="48"/>
      <c r="B28" s="48"/>
      <c r="C28" s="48"/>
      <c r="D28" s="31">
        <v>25</v>
      </c>
      <c r="E28" s="56"/>
      <c r="F28" s="60"/>
    </row>
    <row r="29" spans="1:6" x14ac:dyDescent="0.3">
      <c r="A29" s="48"/>
      <c r="B29" s="48"/>
      <c r="C29" s="48"/>
      <c r="D29" s="31">
        <v>26</v>
      </c>
      <c r="E29" s="56"/>
      <c r="F29" s="61"/>
    </row>
    <row r="30" spans="1:6" x14ac:dyDescent="0.3">
      <c r="A30" s="47" t="s">
        <v>17</v>
      </c>
      <c r="B30" s="47" t="s">
        <v>88</v>
      </c>
      <c r="C30" s="47">
        <v>304996702</v>
      </c>
      <c r="D30" s="30">
        <v>10</v>
      </c>
      <c r="E30" s="56"/>
      <c r="F30" s="62">
        <v>1.4137900000000001</v>
      </c>
    </row>
    <row r="31" spans="1:6" x14ac:dyDescent="0.3">
      <c r="A31" s="47"/>
      <c r="B31" s="47"/>
      <c r="C31" s="47"/>
      <c r="D31" s="31">
        <v>11</v>
      </c>
      <c r="E31" s="56"/>
      <c r="F31" s="60"/>
    </row>
    <row r="32" spans="1:6" x14ac:dyDescent="0.3">
      <c r="A32" s="47"/>
      <c r="B32" s="47"/>
      <c r="C32" s="47"/>
      <c r="D32" s="31">
        <v>90</v>
      </c>
      <c r="E32" s="56"/>
      <c r="F32" s="61"/>
    </row>
    <row r="33" spans="1:6" x14ac:dyDescent="0.3">
      <c r="A33" s="48" t="s">
        <v>18</v>
      </c>
      <c r="B33" s="48" t="s">
        <v>91</v>
      </c>
      <c r="C33" s="48">
        <v>302824830</v>
      </c>
      <c r="D33" s="30">
        <v>6</v>
      </c>
      <c r="E33" s="56"/>
      <c r="F33" s="62">
        <v>3.2718099999999999</v>
      </c>
    </row>
    <row r="34" spans="1:6" x14ac:dyDescent="0.3">
      <c r="A34" s="48"/>
      <c r="B34" s="48"/>
      <c r="C34" s="48"/>
      <c r="D34" s="31">
        <v>43</v>
      </c>
      <c r="E34" s="56"/>
      <c r="F34" s="60"/>
    </row>
    <row r="35" spans="1:6" x14ac:dyDescent="0.3">
      <c r="A35" s="48"/>
      <c r="B35" s="48"/>
      <c r="C35" s="48"/>
      <c r="D35" s="31">
        <v>44</v>
      </c>
      <c r="E35" s="56"/>
      <c r="F35" s="60"/>
    </row>
    <row r="36" spans="1:6" x14ac:dyDescent="0.3">
      <c r="A36" s="48"/>
      <c r="B36" s="48"/>
      <c r="C36" s="48"/>
      <c r="D36" s="31">
        <v>45</v>
      </c>
      <c r="E36" s="56"/>
      <c r="F36" s="60"/>
    </row>
    <row r="37" spans="1:6" x14ac:dyDescent="0.3">
      <c r="A37" s="48"/>
      <c r="B37" s="48"/>
      <c r="C37" s="48"/>
      <c r="D37" s="31">
        <v>71</v>
      </c>
      <c r="E37" s="56"/>
      <c r="F37" s="61"/>
    </row>
    <row r="38" spans="1:6" x14ac:dyDescent="0.3">
      <c r="A38" s="47" t="s">
        <v>19</v>
      </c>
      <c r="B38" s="47" t="s">
        <v>92</v>
      </c>
      <c r="C38" s="47">
        <v>284141111</v>
      </c>
      <c r="D38" s="31">
        <v>17</v>
      </c>
      <c r="E38" s="56"/>
      <c r="F38" s="62">
        <v>0.62248000000000003</v>
      </c>
    </row>
    <row r="39" spans="1:6" x14ac:dyDescent="0.3">
      <c r="A39" s="47"/>
      <c r="B39" s="47"/>
      <c r="C39" s="47"/>
      <c r="D39" s="30">
        <v>18</v>
      </c>
      <c r="E39" s="56"/>
      <c r="F39" s="60"/>
    </row>
    <row r="40" spans="1:6" x14ac:dyDescent="0.3">
      <c r="A40" s="47"/>
      <c r="B40" s="47"/>
      <c r="C40" s="47"/>
      <c r="D40" s="31">
        <v>85</v>
      </c>
      <c r="E40" s="56"/>
      <c r="F40" s="61"/>
    </row>
    <row r="41" spans="1:6" x14ac:dyDescent="0.3">
      <c r="A41" s="48" t="s">
        <v>20</v>
      </c>
      <c r="B41" s="48" t="s">
        <v>94</v>
      </c>
      <c r="C41" s="48">
        <v>277502552</v>
      </c>
      <c r="D41" s="31">
        <v>14</v>
      </c>
      <c r="E41" s="57"/>
      <c r="F41" s="62">
        <v>0.91777200000000003</v>
      </c>
    </row>
    <row r="42" spans="1:6" x14ac:dyDescent="0.3">
      <c r="A42" s="48"/>
      <c r="B42" s="48"/>
      <c r="C42" s="48"/>
      <c r="D42" s="31">
        <v>15</v>
      </c>
      <c r="E42" s="56"/>
      <c r="F42" s="60"/>
    </row>
    <row r="43" spans="1:6" x14ac:dyDescent="0.3">
      <c r="A43" s="48"/>
      <c r="B43" s="48"/>
      <c r="C43" s="48"/>
      <c r="D43" s="30">
        <v>16</v>
      </c>
      <c r="E43" s="56"/>
      <c r="F43" s="60"/>
    </row>
    <row r="44" spans="1:6" x14ac:dyDescent="0.3">
      <c r="A44" s="48"/>
      <c r="B44" s="48"/>
      <c r="C44" s="48"/>
      <c r="D44" s="31">
        <v>17</v>
      </c>
      <c r="E44" s="56"/>
      <c r="F44" s="60"/>
    </row>
    <row r="45" spans="1:6" x14ac:dyDescent="0.3">
      <c r="A45" s="48"/>
      <c r="B45" s="48"/>
      <c r="C45" s="48"/>
      <c r="D45" s="31">
        <v>55</v>
      </c>
      <c r="E45" s="56"/>
      <c r="F45" s="60"/>
    </row>
    <row r="46" spans="1:6" x14ac:dyDescent="0.3">
      <c r="A46" s="48"/>
      <c r="B46" s="48"/>
      <c r="C46" s="48"/>
      <c r="D46" s="31">
        <v>56</v>
      </c>
      <c r="E46" s="56"/>
      <c r="F46" s="60"/>
    </row>
    <row r="47" spans="1:6" x14ac:dyDescent="0.3">
      <c r="A47" s="48"/>
      <c r="B47" s="48"/>
      <c r="C47" s="48"/>
      <c r="D47" s="31">
        <v>57</v>
      </c>
      <c r="E47" s="56"/>
      <c r="F47" s="60"/>
    </row>
    <row r="48" spans="1:6" x14ac:dyDescent="0.3">
      <c r="A48" s="48"/>
      <c r="B48" s="48"/>
      <c r="C48" s="48"/>
      <c r="D48" s="31">
        <v>75</v>
      </c>
      <c r="E48" s="56"/>
      <c r="F48" s="60"/>
    </row>
    <row r="49" spans="1:6" x14ac:dyDescent="0.3">
      <c r="A49" s="48"/>
      <c r="B49" s="48"/>
      <c r="C49" s="48"/>
      <c r="D49" s="31">
        <v>76</v>
      </c>
      <c r="E49" s="56"/>
      <c r="F49" s="60"/>
    </row>
    <row r="50" spans="1:6" x14ac:dyDescent="0.3">
      <c r="A50" s="48"/>
      <c r="B50" s="48"/>
      <c r="C50" s="48"/>
      <c r="D50" s="31">
        <v>77</v>
      </c>
      <c r="E50" s="56"/>
      <c r="F50" s="60"/>
    </row>
    <row r="51" spans="1:6" x14ac:dyDescent="0.3">
      <c r="A51" s="48"/>
      <c r="B51" s="48"/>
      <c r="C51" s="48"/>
      <c r="D51" s="31">
        <v>82</v>
      </c>
      <c r="E51" s="56"/>
      <c r="F51" s="60"/>
    </row>
    <row r="52" spans="1:6" x14ac:dyDescent="0.3">
      <c r="A52" s="48"/>
      <c r="B52" s="48"/>
      <c r="C52" s="48"/>
      <c r="D52" s="31">
        <v>84</v>
      </c>
      <c r="E52" s="56"/>
      <c r="F52" s="61"/>
    </row>
    <row r="53" spans="1:6" x14ac:dyDescent="0.3">
      <c r="A53" s="48" t="s">
        <v>43</v>
      </c>
      <c r="B53" s="48" t="s">
        <v>96</v>
      </c>
      <c r="C53" s="48">
        <v>310883625</v>
      </c>
      <c r="D53" s="30">
        <v>11</v>
      </c>
      <c r="E53" s="56"/>
      <c r="F53" s="62">
        <v>6.6766399999999999</v>
      </c>
    </row>
    <row r="54" spans="1:6" x14ac:dyDescent="0.3">
      <c r="A54" s="48"/>
      <c r="B54" s="48"/>
      <c r="C54" s="48"/>
      <c r="D54" s="31">
        <v>37</v>
      </c>
      <c r="E54" s="56"/>
      <c r="F54" s="60"/>
    </row>
    <row r="55" spans="1:6" x14ac:dyDescent="0.3">
      <c r="A55" s="48"/>
      <c r="B55" s="48"/>
      <c r="C55" s="48"/>
      <c r="D55" s="31">
        <v>38</v>
      </c>
      <c r="E55" s="56"/>
      <c r="F55" s="60"/>
    </row>
    <row r="56" spans="1:6" x14ac:dyDescent="0.3">
      <c r="A56" s="48"/>
      <c r="B56" s="48"/>
      <c r="C56" s="48"/>
      <c r="D56" s="31">
        <v>64</v>
      </c>
      <c r="E56" s="56"/>
      <c r="F56" s="60"/>
    </row>
    <row r="57" spans="1:6" x14ac:dyDescent="0.3">
      <c r="A57" s="48"/>
      <c r="B57" s="48"/>
      <c r="C57" s="48"/>
      <c r="D57" s="31">
        <v>65</v>
      </c>
      <c r="E57" s="56"/>
      <c r="F57" s="61"/>
    </row>
    <row r="58" spans="1:6" x14ac:dyDescent="0.3">
      <c r="A58" s="46" t="s">
        <v>44</v>
      </c>
      <c r="B58" s="46" t="s">
        <v>98</v>
      </c>
      <c r="C58" s="46">
        <v>29129672</v>
      </c>
      <c r="D58" s="30">
        <v>8</v>
      </c>
      <c r="E58" s="56"/>
      <c r="F58" s="62">
        <v>6.9884599999999999</v>
      </c>
    </row>
    <row r="59" spans="1:6" x14ac:dyDescent="0.3">
      <c r="A59" s="46"/>
      <c r="B59" s="46"/>
      <c r="C59" s="46"/>
      <c r="D59" s="31">
        <v>9</v>
      </c>
      <c r="E59" s="56"/>
      <c r="F59" s="61"/>
    </row>
    <row r="60" spans="1:6" x14ac:dyDescent="0.3">
      <c r="A60" s="28" t="s">
        <v>45</v>
      </c>
      <c r="B60" s="28" t="s">
        <v>99</v>
      </c>
      <c r="C60" s="28">
        <v>288095171</v>
      </c>
      <c r="D60" s="30">
        <v>11</v>
      </c>
      <c r="E60" s="56"/>
      <c r="F60" s="66">
        <v>12.1547</v>
      </c>
    </row>
    <row r="61" spans="1:6" x14ac:dyDescent="0.3">
      <c r="A61" s="48" t="s">
        <v>46</v>
      </c>
      <c r="B61" s="48" t="s">
        <v>100</v>
      </c>
      <c r="C61" s="48">
        <v>228758232</v>
      </c>
      <c r="D61" s="31">
        <v>1</v>
      </c>
      <c r="E61" s="56"/>
      <c r="F61" s="62">
        <v>10.144299999999999</v>
      </c>
    </row>
    <row r="62" spans="1:6" x14ac:dyDescent="0.3">
      <c r="A62" s="48"/>
      <c r="B62" s="48"/>
      <c r="C62" s="48"/>
      <c r="D62" s="30">
        <v>10</v>
      </c>
      <c r="E62" s="56"/>
      <c r="F62" s="60"/>
    </row>
    <row r="63" spans="1:6" x14ac:dyDescent="0.3">
      <c r="A63" s="48"/>
      <c r="B63" s="48"/>
      <c r="C63" s="48"/>
      <c r="D63" s="31">
        <v>37</v>
      </c>
      <c r="E63" s="56"/>
      <c r="F63" s="60"/>
    </row>
    <row r="64" spans="1:6" x14ac:dyDescent="0.3">
      <c r="A64" s="48"/>
      <c r="B64" s="48"/>
      <c r="C64" s="48"/>
      <c r="D64" s="31">
        <v>64</v>
      </c>
      <c r="E64" s="56"/>
      <c r="F64" s="61"/>
    </row>
    <row r="65" spans="1:6" x14ac:dyDescent="0.3">
      <c r="A65" s="46" t="s">
        <v>47</v>
      </c>
      <c r="B65" s="49" t="s">
        <v>101</v>
      </c>
      <c r="C65" s="46">
        <v>13877074</v>
      </c>
      <c r="D65" s="30">
        <v>14</v>
      </c>
      <c r="E65" s="56"/>
      <c r="F65" s="62">
        <v>10.925000000000001</v>
      </c>
    </row>
    <row r="66" spans="1:6" x14ac:dyDescent="0.3">
      <c r="A66" s="46"/>
      <c r="B66" s="49"/>
      <c r="C66" s="46"/>
      <c r="D66" s="31">
        <v>15</v>
      </c>
      <c r="E66" s="56"/>
      <c r="F66" s="60"/>
    </row>
    <row r="67" spans="1:6" x14ac:dyDescent="0.3">
      <c r="A67" s="46"/>
      <c r="B67" s="49"/>
      <c r="C67" s="46"/>
      <c r="D67" s="31">
        <v>41</v>
      </c>
      <c r="E67" s="56"/>
      <c r="F67" s="60"/>
    </row>
    <row r="68" spans="1:6" x14ac:dyDescent="0.3">
      <c r="A68" s="46"/>
      <c r="B68" s="49"/>
      <c r="C68" s="46"/>
      <c r="D68" s="31">
        <v>75</v>
      </c>
      <c r="E68" s="56"/>
      <c r="F68" s="60"/>
    </row>
    <row r="69" spans="1:6" x14ac:dyDescent="0.3">
      <c r="A69" s="46"/>
      <c r="B69" s="49"/>
      <c r="C69" s="46"/>
      <c r="D69" s="31">
        <v>81</v>
      </c>
      <c r="E69" s="56"/>
      <c r="F69" s="60"/>
    </row>
    <row r="70" spans="1:6" x14ac:dyDescent="0.3">
      <c r="A70" s="46"/>
      <c r="B70" s="49"/>
      <c r="C70" s="46"/>
      <c r="D70" s="31">
        <v>82</v>
      </c>
      <c r="E70" s="56"/>
      <c r="F70" s="61"/>
    </row>
    <row r="71" spans="1:6" x14ac:dyDescent="0.3">
      <c r="A71" s="48" t="s">
        <v>48</v>
      </c>
      <c r="B71" s="48" t="s">
        <v>102</v>
      </c>
      <c r="C71" s="48">
        <v>126441970</v>
      </c>
      <c r="D71" s="30">
        <v>7</v>
      </c>
      <c r="E71" s="56"/>
      <c r="F71" s="63">
        <v>7.1592200000000004</v>
      </c>
    </row>
    <row r="72" spans="1:6" x14ac:dyDescent="0.3">
      <c r="A72" s="48"/>
      <c r="B72" s="48"/>
      <c r="C72" s="48"/>
      <c r="D72" s="31">
        <v>34</v>
      </c>
      <c r="E72" s="56"/>
      <c r="F72" s="64"/>
    </row>
    <row r="73" spans="1:6" x14ac:dyDescent="0.3">
      <c r="A73" s="48"/>
      <c r="B73" s="48"/>
      <c r="C73" s="48"/>
      <c r="D73" s="31">
        <v>61</v>
      </c>
      <c r="E73" s="56"/>
      <c r="F73" s="64"/>
    </row>
    <row r="74" spans="1:6" x14ac:dyDescent="0.3">
      <c r="A74" s="48"/>
      <c r="B74" s="48"/>
      <c r="C74" s="48"/>
      <c r="D74" s="31">
        <v>88</v>
      </c>
      <c r="E74" s="56"/>
      <c r="F74" s="65"/>
    </row>
    <row r="75" spans="1:6" x14ac:dyDescent="0.3">
      <c r="A75" s="47" t="s">
        <v>49</v>
      </c>
      <c r="B75" s="47" t="s">
        <v>104</v>
      </c>
      <c r="C75" s="47">
        <v>106111735</v>
      </c>
      <c r="D75" s="30">
        <v>14</v>
      </c>
      <c r="E75" s="56"/>
      <c r="F75" s="62">
        <v>7.3662099999999997</v>
      </c>
    </row>
    <row r="76" spans="1:6" x14ac:dyDescent="0.3">
      <c r="A76" s="47"/>
      <c r="B76" s="47"/>
      <c r="C76" s="47"/>
      <c r="D76" s="31">
        <v>54</v>
      </c>
      <c r="E76" s="56"/>
      <c r="F76" s="60"/>
    </row>
    <row r="77" spans="1:6" x14ac:dyDescent="0.3">
      <c r="A77" s="47"/>
      <c r="B77" s="47"/>
      <c r="C77" s="47"/>
      <c r="D77" s="31">
        <v>55</v>
      </c>
      <c r="E77" s="56"/>
      <c r="F77" s="60"/>
    </row>
    <row r="78" spans="1:6" x14ac:dyDescent="0.3">
      <c r="A78" s="47"/>
      <c r="B78" s="47"/>
      <c r="C78" s="47"/>
      <c r="D78" s="31">
        <v>74</v>
      </c>
      <c r="E78" s="56"/>
      <c r="F78" s="60"/>
    </row>
    <row r="79" spans="1:6" x14ac:dyDescent="0.3">
      <c r="A79" s="47"/>
      <c r="B79" s="47"/>
      <c r="C79" s="47"/>
      <c r="D79" s="31">
        <v>75</v>
      </c>
      <c r="E79" s="56"/>
      <c r="F79" s="60"/>
    </row>
    <row r="80" spans="1:6" x14ac:dyDescent="0.3">
      <c r="A80" s="47"/>
      <c r="B80" s="47"/>
      <c r="C80" s="47"/>
      <c r="D80" s="31">
        <v>81</v>
      </c>
      <c r="E80" s="56"/>
      <c r="F80" s="60"/>
    </row>
    <row r="81" spans="1:6" x14ac:dyDescent="0.3">
      <c r="A81" s="47"/>
      <c r="B81" s="47"/>
      <c r="C81" s="47"/>
      <c r="D81" s="31">
        <v>82</v>
      </c>
      <c r="E81" s="56"/>
      <c r="F81" s="61"/>
    </row>
    <row r="82" spans="1:6" x14ac:dyDescent="0.3">
      <c r="A82" s="58" t="s">
        <v>68</v>
      </c>
      <c r="B82" s="58" t="s">
        <v>106</v>
      </c>
      <c r="C82" s="58">
        <v>72696935</v>
      </c>
      <c r="D82" s="30">
        <v>19</v>
      </c>
      <c r="E82" s="56"/>
      <c r="F82" s="62">
        <v>0.543462</v>
      </c>
    </row>
    <row r="83" spans="1:6" x14ac:dyDescent="0.3">
      <c r="A83" s="58"/>
      <c r="B83" s="58"/>
      <c r="C83" s="58"/>
      <c r="D83" s="31">
        <v>59</v>
      </c>
      <c r="E83" s="56"/>
      <c r="F83" s="60"/>
    </row>
    <row r="84" spans="1:6" x14ac:dyDescent="0.3">
      <c r="A84" s="58"/>
      <c r="B84" s="58"/>
      <c r="C84" s="58"/>
      <c r="D84" s="31">
        <v>86</v>
      </c>
      <c r="E84" s="56"/>
      <c r="F84" s="61"/>
    </row>
    <row r="85" spans="1:6" x14ac:dyDescent="0.3">
      <c r="A85" s="48" t="s">
        <v>64</v>
      </c>
      <c r="B85" s="48" t="s">
        <v>109</v>
      </c>
      <c r="C85" s="48">
        <v>337886863</v>
      </c>
      <c r="D85" s="31">
        <v>14</v>
      </c>
      <c r="E85" s="57"/>
      <c r="F85" s="62">
        <v>5.7008099999999997</v>
      </c>
    </row>
    <row r="86" spans="1:6" x14ac:dyDescent="0.3">
      <c r="A86" s="48"/>
      <c r="B86" s="48"/>
      <c r="C86" s="48"/>
      <c r="D86" s="31">
        <v>16</v>
      </c>
      <c r="E86" s="56"/>
      <c r="F86" s="60"/>
    </row>
    <row r="87" spans="1:6" x14ac:dyDescent="0.3">
      <c r="A87" s="48"/>
      <c r="B87" s="48"/>
      <c r="C87" s="48"/>
      <c r="D87" s="31">
        <v>17</v>
      </c>
      <c r="E87" s="56"/>
      <c r="F87" s="60"/>
    </row>
    <row r="88" spans="1:6" x14ac:dyDescent="0.3">
      <c r="A88" s="48"/>
      <c r="B88" s="48"/>
      <c r="C88" s="48"/>
      <c r="D88" s="31">
        <v>18</v>
      </c>
      <c r="E88" s="56"/>
      <c r="F88" s="60"/>
    </row>
    <row r="89" spans="1:6" x14ac:dyDescent="0.3">
      <c r="A89" s="48"/>
      <c r="B89" s="48"/>
      <c r="C89" s="48"/>
      <c r="D89" s="30">
        <v>24</v>
      </c>
      <c r="E89" s="56"/>
      <c r="F89" s="60"/>
    </row>
    <row r="90" spans="1:6" x14ac:dyDescent="0.3">
      <c r="A90" s="48"/>
      <c r="B90" s="48"/>
      <c r="C90" s="48"/>
      <c r="D90" s="31">
        <v>57</v>
      </c>
      <c r="E90" s="56"/>
      <c r="F90" s="60"/>
    </row>
    <row r="91" spans="1:6" x14ac:dyDescent="0.3">
      <c r="A91" s="48"/>
      <c r="B91" s="48"/>
      <c r="C91" s="48"/>
      <c r="D91" s="31">
        <v>58</v>
      </c>
      <c r="E91" s="56"/>
      <c r="F91" s="60"/>
    </row>
    <row r="92" spans="1:6" x14ac:dyDescent="0.3">
      <c r="A92" s="48"/>
      <c r="B92" s="48"/>
      <c r="C92" s="48"/>
      <c r="D92" s="31">
        <v>77</v>
      </c>
      <c r="E92" s="56"/>
      <c r="F92" s="60"/>
    </row>
    <row r="93" spans="1:6" x14ac:dyDescent="0.3">
      <c r="A93" s="48"/>
      <c r="B93" s="48"/>
      <c r="C93" s="48"/>
      <c r="D93" s="31">
        <v>78</v>
      </c>
      <c r="E93" s="56"/>
      <c r="F93" s="60"/>
    </row>
    <row r="94" spans="1:6" x14ac:dyDescent="0.3">
      <c r="A94" s="48"/>
      <c r="B94" s="48"/>
      <c r="C94" s="48"/>
      <c r="D94" s="31">
        <v>84</v>
      </c>
      <c r="E94" s="56"/>
      <c r="F94" s="60"/>
    </row>
    <row r="95" spans="1:6" x14ac:dyDescent="0.3">
      <c r="A95" s="48"/>
      <c r="B95" s="48"/>
      <c r="C95" s="48"/>
      <c r="D95" s="31">
        <v>85</v>
      </c>
      <c r="E95" s="56"/>
      <c r="F95" s="61"/>
    </row>
    <row r="96" spans="1:6" x14ac:dyDescent="0.3">
      <c r="A96" s="58" t="s">
        <v>65</v>
      </c>
      <c r="B96" s="58" t="s">
        <v>111</v>
      </c>
      <c r="C96" s="58">
        <v>275420565</v>
      </c>
      <c r="D96" s="30">
        <v>16</v>
      </c>
      <c r="E96" s="56"/>
      <c r="F96" s="62">
        <v>1.6960599999999999</v>
      </c>
    </row>
    <row r="97" spans="1:6" x14ac:dyDescent="0.3">
      <c r="A97" s="58"/>
      <c r="B97" s="58"/>
      <c r="C97" s="58"/>
      <c r="D97" s="31">
        <v>17</v>
      </c>
      <c r="E97" s="56"/>
      <c r="F97" s="60"/>
    </row>
    <row r="98" spans="1:6" x14ac:dyDescent="0.3">
      <c r="A98" s="58"/>
      <c r="B98" s="58"/>
      <c r="C98" s="58"/>
      <c r="D98" s="31">
        <v>18</v>
      </c>
      <c r="E98" s="56"/>
      <c r="F98" s="60"/>
    </row>
    <row r="99" spans="1:6" x14ac:dyDescent="0.3">
      <c r="A99" s="58"/>
      <c r="B99" s="58"/>
      <c r="C99" s="58"/>
      <c r="D99" s="31">
        <v>24</v>
      </c>
      <c r="E99" s="56"/>
      <c r="F99" s="60"/>
    </row>
    <row r="100" spans="1:6" x14ac:dyDescent="0.3">
      <c r="A100" s="58"/>
      <c r="B100" s="58"/>
      <c r="C100" s="58"/>
      <c r="D100" s="31">
        <v>56</v>
      </c>
      <c r="E100" s="56"/>
      <c r="F100" s="60"/>
    </row>
    <row r="101" spans="1:6" x14ac:dyDescent="0.3">
      <c r="A101" s="58"/>
      <c r="B101" s="58"/>
      <c r="C101" s="58"/>
      <c r="D101" s="31">
        <v>58</v>
      </c>
      <c r="E101" s="56"/>
      <c r="F101" s="60"/>
    </row>
    <row r="102" spans="1:6" x14ac:dyDescent="0.3">
      <c r="A102" s="58"/>
      <c r="B102" s="58"/>
      <c r="C102" s="58"/>
      <c r="D102" s="31">
        <v>76</v>
      </c>
      <c r="E102" s="56"/>
      <c r="F102" s="60"/>
    </row>
    <row r="103" spans="1:6" x14ac:dyDescent="0.3">
      <c r="A103" s="58"/>
      <c r="B103" s="58"/>
      <c r="C103" s="58"/>
      <c r="D103" s="31">
        <v>77</v>
      </c>
      <c r="E103" s="56"/>
      <c r="F103" s="60"/>
    </row>
    <row r="104" spans="1:6" x14ac:dyDescent="0.3">
      <c r="A104" s="58"/>
      <c r="B104" s="58"/>
      <c r="C104" s="58"/>
      <c r="D104" s="31">
        <v>78</v>
      </c>
      <c r="E104" s="56"/>
      <c r="F104" s="60"/>
    </row>
    <row r="105" spans="1:6" x14ac:dyDescent="0.3">
      <c r="A105" s="58"/>
      <c r="B105" s="58"/>
      <c r="C105" s="58"/>
      <c r="D105" s="31">
        <v>83</v>
      </c>
      <c r="E105" s="56"/>
      <c r="F105" s="60"/>
    </row>
    <row r="106" spans="1:6" x14ac:dyDescent="0.3">
      <c r="A106" s="58"/>
      <c r="B106" s="58"/>
      <c r="C106" s="58"/>
      <c r="D106" s="31">
        <v>85</v>
      </c>
      <c r="E106" s="56"/>
      <c r="F106" s="61"/>
    </row>
    <row r="107" spans="1:6" x14ac:dyDescent="0.3">
      <c r="A107" s="46" t="s">
        <v>66</v>
      </c>
      <c r="B107" s="46" t="s">
        <v>112</v>
      </c>
      <c r="C107" s="46">
        <v>180730928</v>
      </c>
      <c r="D107" s="31">
        <v>1</v>
      </c>
      <c r="E107" s="57"/>
      <c r="F107" s="62">
        <v>0.56733900000000004</v>
      </c>
    </row>
    <row r="108" spans="1:6" x14ac:dyDescent="0.3">
      <c r="A108" s="46"/>
      <c r="B108" s="46"/>
      <c r="C108" s="46"/>
      <c r="D108" s="30">
        <v>8</v>
      </c>
      <c r="E108" s="56"/>
      <c r="F108" s="60"/>
    </row>
    <row r="109" spans="1:6" x14ac:dyDescent="0.3">
      <c r="A109" s="46"/>
      <c r="B109" s="46"/>
      <c r="C109" s="46"/>
      <c r="D109" s="31">
        <v>61</v>
      </c>
      <c r="E109" s="56"/>
      <c r="F109" s="60"/>
    </row>
    <row r="110" spans="1:6" x14ac:dyDescent="0.3">
      <c r="A110" s="46"/>
      <c r="B110" s="46"/>
      <c r="C110" s="46"/>
      <c r="D110" s="31">
        <v>62</v>
      </c>
      <c r="E110" s="56"/>
      <c r="F110" s="61"/>
    </row>
    <row r="111" spans="1:6" x14ac:dyDescent="0.3">
      <c r="A111" s="48" t="s">
        <v>67</v>
      </c>
      <c r="B111" s="48" t="s">
        <v>113</v>
      </c>
      <c r="C111" s="48">
        <v>143681075</v>
      </c>
      <c r="D111" s="30">
        <v>19</v>
      </c>
      <c r="E111" s="56"/>
      <c r="F111" s="62">
        <v>1.33982</v>
      </c>
    </row>
    <row r="112" spans="1:6" x14ac:dyDescent="0.3">
      <c r="A112" s="48"/>
      <c r="B112" s="48"/>
      <c r="C112" s="48"/>
      <c r="D112" s="31">
        <v>59</v>
      </c>
      <c r="E112" s="56"/>
      <c r="F112" s="60"/>
    </row>
    <row r="113" spans="1:6" x14ac:dyDescent="0.3">
      <c r="A113" s="48"/>
      <c r="B113" s="48"/>
      <c r="C113" s="48"/>
      <c r="D113" s="31">
        <v>73</v>
      </c>
      <c r="E113" s="56"/>
      <c r="F113" s="60"/>
    </row>
    <row r="114" spans="1:6" x14ac:dyDescent="0.3">
      <c r="A114" s="48"/>
      <c r="B114" s="48"/>
      <c r="C114" s="48"/>
      <c r="D114" s="31">
        <v>86</v>
      </c>
      <c r="E114" s="56"/>
      <c r="F114" s="61"/>
    </row>
    <row r="115" spans="1:6" x14ac:dyDescent="0.3">
      <c r="F115" s="67"/>
    </row>
    <row r="116" spans="1:6" x14ac:dyDescent="0.3">
      <c r="F116" s="67"/>
    </row>
    <row r="117" spans="1:6" x14ac:dyDescent="0.3">
      <c r="F117" s="67"/>
    </row>
    <row r="118" spans="1:6" x14ac:dyDescent="0.3">
      <c r="F118" s="67"/>
    </row>
    <row r="119" spans="1:6" x14ac:dyDescent="0.3">
      <c r="F119" s="67"/>
    </row>
    <row r="120" spans="1:6" x14ac:dyDescent="0.3">
      <c r="F120" s="67"/>
    </row>
    <row r="121" spans="1:6" x14ac:dyDescent="0.3">
      <c r="F121" s="67"/>
    </row>
    <row r="122" spans="1:6" x14ac:dyDescent="0.3">
      <c r="F122" s="67"/>
    </row>
    <row r="123" spans="1:6" x14ac:dyDescent="0.3">
      <c r="F123" s="67"/>
    </row>
    <row r="124" spans="1:6" x14ac:dyDescent="0.3">
      <c r="F124" s="67"/>
    </row>
    <row r="125" spans="1:6" x14ac:dyDescent="0.3">
      <c r="F125" s="67"/>
    </row>
    <row r="126" spans="1:6" x14ac:dyDescent="0.3">
      <c r="F126" s="67"/>
    </row>
    <row r="127" spans="1:6" x14ac:dyDescent="0.3">
      <c r="F127" s="67"/>
    </row>
    <row r="128" spans="1:6" x14ac:dyDescent="0.3">
      <c r="F128" s="67"/>
    </row>
    <row r="129" spans="6:6" x14ac:dyDescent="0.3">
      <c r="F129" s="67"/>
    </row>
    <row r="130" spans="6:6" x14ac:dyDescent="0.3">
      <c r="F130" s="67"/>
    </row>
    <row r="131" spans="6:6" x14ac:dyDescent="0.3">
      <c r="F131" s="67"/>
    </row>
    <row r="132" spans="6:6" x14ac:dyDescent="0.3">
      <c r="F132" s="67"/>
    </row>
    <row r="133" spans="6:6" x14ac:dyDescent="0.3">
      <c r="F133" s="67"/>
    </row>
    <row r="134" spans="6:6" x14ac:dyDescent="0.3">
      <c r="F134" s="67"/>
    </row>
    <row r="135" spans="6:6" x14ac:dyDescent="0.3">
      <c r="F135" s="67"/>
    </row>
    <row r="136" spans="6:6" x14ac:dyDescent="0.3">
      <c r="F136" s="67"/>
    </row>
    <row r="137" spans="6:6" x14ac:dyDescent="0.3">
      <c r="F137" s="67"/>
    </row>
    <row r="138" spans="6:6" x14ac:dyDescent="0.3">
      <c r="F138" s="67"/>
    </row>
    <row r="139" spans="6:6" x14ac:dyDescent="0.3">
      <c r="F139" s="67"/>
    </row>
    <row r="140" spans="6:6" x14ac:dyDescent="0.3">
      <c r="F140" s="67"/>
    </row>
    <row r="141" spans="6:6" x14ac:dyDescent="0.3">
      <c r="F141" s="67"/>
    </row>
  </sheetData>
  <mergeCells count="80">
    <mergeCell ref="A107:A110"/>
    <mergeCell ref="B107:B110"/>
    <mergeCell ref="C107:C110"/>
    <mergeCell ref="F107:F110"/>
    <mergeCell ref="A111:A114"/>
    <mergeCell ref="B111:B114"/>
    <mergeCell ref="C111:C114"/>
    <mergeCell ref="F111:F114"/>
    <mergeCell ref="A85:A95"/>
    <mergeCell ref="B85:B95"/>
    <mergeCell ref="C85:C95"/>
    <mergeCell ref="F85:F95"/>
    <mergeCell ref="A96:A106"/>
    <mergeCell ref="B96:B106"/>
    <mergeCell ref="C96:C106"/>
    <mergeCell ref="F96:F106"/>
    <mergeCell ref="A75:A81"/>
    <mergeCell ref="B75:B81"/>
    <mergeCell ref="C75:C81"/>
    <mergeCell ref="F75:F81"/>
    <mergeCell ref="A82:A84"/>
    <mergeCell ref="B82:B84"/>
    <mergeCell ref="C82:C84"/>
    <mergeCell ref="F82:F84"/>
    <mergeCell ref="A65:A70"/>
    <mergeCell ref="B65:B70"/>
    <mergeCell ref="C65:C70"/>
    <mergeCell ref="F65:F70"/>
    <mergeCell ref="A71:A74"/>
    <mergeCell ref="B71:B74"/>
    <mergeCell ref="C71:C74"/>
    <mergeCell ref="F71:F74"/>
    <mergeCell ref="A58:A59"/>
    <mergeCell ref="B58:B59"/>
    <mergeCell ref="C58:C59"/>
    <mergeCell ref="F58:F59"/>
    <mergeCell ref="A61:A64"/>
    <mergeCell ref="B61:B64"/>
    <mergeCell ref="C61:C64"/>
    <mergeCell ref="F61:F64"/>
    <mergeCell ref="A41:A52"/>
    <mergeCell ref="B41:B52"/>
    <mergeCell ref="C41:C52"/>
    <mergeCell ref="F41:F52"/>
    <mergeCell ref="A53:A57"/>
    <mergeCell ref="B53:B57"/>
    <mergeCell ref="C53:C57"/>
    <mergeCell ref="F53:F57"/>
    <mergeCell ref="A33:A37"/>
    <mergeCell ref="B33:B37"/>
    <mergeCell ref="C33:C37"/>
    <mergeCell ref="F33:F37"/>
    <mergeCell ref="A38:A40"/>
    <mergeCell ref="B38:B40"/>
    <mergeCell ref="C38:C40"/>
    <mergeCell ref="F38:F40"/>
    <mergeCell ref="A27:A29"/>
    <mergeCell ref="B27:B29"/>
    <mergeCell ref="C27:C29"/>
    <mergeCell ref="F27:F29"/>
    <mergeCell ref="A30:A32"/>
    <mergeCell ref="B30:B32"/>
    <mergeCell ref="C30:C32"/>
    <mergeCell ref="F30:F32"/>
    <mergeCell ref="A12:A22"/>
    <mergeCell ref="B12:B22"/>
    <mergeCell ref="C12:C22"/>
    <mergeCell ref="F12:F22"/>
    <mergeCell ref="A23:A26"/>
    <mergeCell ref="B23:B26"/>
    <mergeCell ref="C23:C26"/>
    <mergeCell ref="F23:F26"/>
    <mergeCell ref="A2:A5"/>
    <mergeCell ref="B2:B5"/>
    <mergeCell ref="C2:C5"/>
    <mergeCell ref="F2:F5"/>
    <mergeCell ref="A7:A11"/>
    <mergeCell ref="B7:B11"/>
    <mergeCell ref="C7:C11"/>
    <mergeCell ref="F7:F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Sheet1</vt:lpstr>
      <vt:lpstr>Hoja1</vt:lpstr>
      <vt:lpstr>Hoja3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Maria Rubio Viana</dc:creator>
  <cp:lastModifiedBy>María Rubio Viana</cp:lastModifiedBy>
  <dcterms:created xsi:type="dcterms:W3CDTF">2015-06-05T18:17:20Z</dcterms:created>
  <dcterms:modified xsi:type="dcterms:W3CDTF">2026-01-23T14:55:14Z</dcterms:modified>
</cp:coreProperties>
</file>